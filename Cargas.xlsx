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D3B02559-6420-4E14-92E5-32EE660233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</calcChain>
</file>

<file path=xl/sharedStrings.xml><?xml version="1.0" encoding="utf-8"?>
<sst xmlns="http://schemas.openxmlformats.org/spreadsheetml/2006/main" count="502" uniqueCount="164">
  <si>
    <t>ID_Envio</t>
  </si>
  <si>
    <t>Guia_Aerea</t>
  </si>
  <si>
    <t>Aerolinea</t>
  </si>
  <si>
    <t>Origen</t>
  </si>
  <si>
    <t>Destino</t>
  </si>
  <si>
    <t>Fecha_Estimada</t>
  </si>
  <si>
    <t>Fecha_Real</t>
  </si>
  <si>
    <t>Estado</t>
  </si>
  <si>
    <t>Incidencia</t>
  </si>
  <si>
    <t>Valor_Carga</t>
  </si>
  <si>
    <t>Dias_Retraso</t>
  </si>
  <si>
    <t>Cumplimiento de arribo</t>
  </si>
  <si>
    <t>AWB1001</t>
  </si>
  <si>
    <t>Avianca Cargo</t>
  </si>
  <si>
    <t>Miami</t>
  </si>
  <si>
    <t>Bogotá</t>
  </si>
  <si>
    <t>Entregado</t>
  </si>
  <si>
    <t>Sin novedad</t>
  </si>
  <si>
    <t xml:space="preserve">$ 12.000 </t>
  </si>
  <si>
    <t>AWB1002</t>
  </si>
  <si>
    <t>LATAM Cargo</t>
  </si>
  <si>
    <t>Madrid</t>
  </si>
  <si>
    <t>Retrasado</t>
  </si>
  <si>
    <t>Retraso por clima</t>
  </si>
  <si>
    <t xml:space="preserve">$ 18.000 </t>
  </si>
  <si>
    <t>AWB1003</t>
  </si>
  <si>
    <t>DHL Aviation</t>
  </si>
  <si>
    <t>Ciudad de México</t>
  </si>
  <si>
    <t xml:space="preserve">$ 9.500 </t>
  </si>
  <si>
    <t>AWB1004</t>
  </si>
  <si>
    <t>Copa Cargo</t>
  </si>
  <si>
    <t>Panamá</t>
  </si>
  <si>
    <t>En aduana</t>
  </si>
  <si>
    <t>Inspección aduanera</t>
  </si>
  <si>
    <t xml:space="preserve">$ 15.000 </t>
  </si>
  <si>
    <t>AWB1005</t>
  </si>
  <si>
    <t>Santiago</t>
  </si>
  <si>
    <t xml:space="preserve">$ 11.000 </t>
  </si>
  <si>
    <t>AWB1006</t>
  </si>
  <si>
    <t>Lima</t>
  </si>
  <si>
    <t>Retraso documental</t>
  </si>
  <si>
    <t xml:space="preserve">$ 21.000 </t>
  </si>
  <si>
    <t>AWB1007</t>
  </si>
  <si>
    <t>Quito</t>
  </si>
  <si>
    <t xml:space="preserve">$ 8.000 </t>
  </si>
  <si>
    <t>AWB1008</t>
  </si>
  <si>
    <t>San José</t>
  </si>
  <si>
    <t>Arribado</t>
  </si>
  <si>
    <t xml:space="preserve">$ 6.700 </t>
  </si>
  <si>
    <t>AWB1009</t>
  </si>
  <si>
    <t>Buenos Aires</t>
  </si>
  <si>
    <t xml:space="preserve">$ 25.000 </t>
  </si>
  <si>
    <t>AWB1010</t>
  </si>
  <si>
    <t>São Paulo</t>
  </si>
  <si>
    <t xml:space="preserve">$ 13.000 </t>
  </si>
  <si>
    <t>AWB1011</t>
  </si>
  <si>
    <t>Nueva York</t>
  </si>
  <si>
    <t xml:space="preserve">$ 17.000 </t>
  </si>
  <si>
    <t>AWB1012</t>
  </si>
  <si>
    <t xml:space="preserve">$ 9.200 </t>
  </si>
  <si>
    <t>AWB1013</t>
  </si>
  <si>
    <t xml:space="preserve">$ 14.500 </t>
  </si>
  <si>
    <t>AWB1014</t>
  </si>
  <si>
    <t xml:space="preserve">$ 19.800 </t>
  </si>
  <si>
    <t>AWB1015</t>
  </si>
  <si>
    <t xml:space="preserve">$ 7.600 </t>
  </si>
  <si>
    <t>AWB1016</t>
  </si>
  <si>
    <t xml:space="preserve">$ 8.800 </t>
  </si>
  <si>
    <t>AWB1017</t>
  </si>
  <si>
    <t xml:space="preserve">$ 22.000 </t>
  </si>
  <si>
    <t>AWB1018</t>
  </si>
  <si>
    <t xml:space="preserve">$ 15.600 </t>
  </si>
  <si>
    <t>AWB1019</t>
  </si>
  <si>
    <t xml:space="preserve">$ 9.100 </t>
  </si>
  <si>
    <t>AWB1020</t>
  </si>
  <si>
    <t xml:space="preserve">$ 10.400 </t>
  </si>
  <si>
    <t>AWB1021</t>
  </si>
  <si>
    <t xml:space="preserve">$ 13.200 </t>
  </si>
  <si>
    <t>AWB1022</t>
  </si>
  <si>
    <t xml:space="preserve">$ 24.000 </t>
  </si>
  <si>
    <t>AWB1023</t>
  </si>
  <si>
    <t xml:space="preserve">$ 11.800 </t>
  </si>
  <si>
    <t>AWB1024</t>
  </si>
  <si>
    <t>AWB1025</t>
  </si>
  <si>
    <t xml:space="preserve">$ 27.000 </t>
  </si>
  <si>
    <t>AWB1026</t>
  </si>
  <si>
    <t xml:space="preserve">$ 9.800 </t>
  </si>
  <si>
    <t>AWB1027</t>
  </si>
  <si>
    <t xml:space="preserve">$ 8.600 </t>
  </si>
  <si>
    <t>AWB1028</t>
  </si>
  <si>
    <t xml:space="preserve">$ 14.000 </t>
  </si>
  <si>
    <t>AWB1029</t>
  </si>
  <si>
    <t xml:space="preserve">$ 12.500 </t>
  </si>
  <si>
    <t>AWB1030</t>
  </si>
  <si>
    <t xml:space="preserve">$ 21.500 </t>
  </si>
  <si>
    <t>AWB1031</t>
  </si>
  <si>
    <t xml:space="preserve">$ 9.300 </t>
  </si>
  <si>
    <t>AWB1032</t>
  </si>
  <si>
    <t xml:space="preserve">$ 7.100 </t>
  </si>
  <si>
    <t>AWB1033</t>
  </si>
  <si>
    <t xml:space="preserve">$ 26.000 </t>
  </si>
  <si>
    <t>AWB1034</t>
  </si>
  <si>
    <t xml:space="preserve">$ 14.900 </t>
  </si>
  <si>
    <t>AWB1035</t>
  </si>
  <si>
    <t xml:space="preserve">$ 17.800 </t>
  </si>
  <si>
    <t>AWB1036</t>
  </si>
  <si>
    <t xml:space="preserve">$ 9.900 </t>
  </si>
  <si>
    <t>AWB1037</t>
  </si>
  <si>
    <t xml:space="preserve">$ 11.200 </t>
  </si>
  <si>
    <t>AWB1038</t>
  </si>
  <si>
    <t xml:space="preserve">$ 20.500 </t>
  </si>
  <si>
    <t>AWB1039</t>
  </si>
  <si>
    <t xml:space="preserve">$ 8.700 </t>
  </si>
  <si>
    <t>AWB1040</t>
  </si>
  <si>
    <t xml:space="preserve">$ 7.900 </t>
  </si>
  <si>
    <t>AWB1041</t>
  </si>
  <si>
    <t xml:space="preserve">$ 28.500 </t>
  </si>
  <si>
    <t>AWB1042</t>
  </si>
  <si>
    <t xml:space="preserve">$ 10.100 </t>
  </si>
  <si>
    <t>AWB1043</t>
  </si>
  <si>
    <t xml:space="preserve">$ 16.300 </t>
  </si>
  <si>
    <t>AWB1044</t>
  </si>
  <si>
    <t>AWB1045</t>
  </si>
  <si>
    <t xml:space="preserve">$ 13.400 </t>
  </si>
  <si>
    <t>AWB1046</t>
  </si>
  <si>
    <t xml:space="preserve">$ 23.000 </t>
  </si>
  <si>
    <t>AWB1047</t>
  </si>
  <si>
    <t xml:space="preserve">$ 8.900 </t>
  </si>
  <si>
    <t>AWB1048</t>
  </si>
  <si>
    <t xml:space="preserve">$ 7.200 </t>
  </si>
  <si>
    <t>AWB1049</t>
  </si>
  <si>
    <t xml:space="preserve">$ 25.500 </t>
  </si>
  <si>
    <t>AWB1050</t>
  </si>
  <si>
    <t xml:space="preserve">$ 14.800 </t>
  </si>
  <si>
    <t>AWB1051</t>
  </si>
  <si>
    <t>AWB1052</t>
  </si>
  <si>
    <t xml:space="preserve">$ 11.300 </t>
  </si>
  <si>
    <t>AWB1053</t>
  </si>
  <si>
    <t xml:space="preserve">$ 14.100 </t>
  </si>
  <si>
    <t>AWB1054</t>
  </si>
  <si>
    <t>AWB1055</t>
  </si>
  <si>
    <t xml:space="preserve">$ 17.200 </t>
  </si>
  <si>
    <t>AWB1056</t>
  </si>
  <si>
    <t>AWB1057</t>
  </si>
  <si>
    <t xml:space="preserve">$ 29.500 </t>
  </si>
  <si>
    <t>AWB1058</t>
  </si>
  <si>
    <t>AWB1059</t>
  </si>
  <si>
    <t>AWB1060</t>
  </si>
  <si>
    <t>AWB1061</t>
  </si>
  <si>
    <t>AWB1062</t>
  </si>
  <si>
    <t>AWB1063</t>
  </si>
  <si>
    <t xml:space="preserve">$ 16.200 </t>
  </si>
  <si>
    <t>AWB1064</t>
  </si>
  <si>
    <t xml:space="preserve">$ 8.100 </t>
  </si>
  <si>
    <t>AWB1065</t>
  </si>
  <si>
    <t>AWB1066</t>
  </si>
  <si>
    <t xml:space="preserve">$ 15.800 </t>
  </si>
  <si>
    <t>AWB1067</t>
  </si>
  <si>
    <t xml:space="preserve">$ 9.400 </t>
  </si>
  <si>
    <t>AWB1068</t>
  </si>
  <si>
    <t xml:space="preserve">$ 11.900 </t>
  </si>
  <si>
    <t>AWB1069</t>
  </si>
  <si>
    <t xml:space="preserve">$ 14.300 </t>
  </si>
  <si>
    <t>AWB1070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</si>
</sst>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/>
    <xf numFmtId="0" fontId="2" fillId="3" borderId="0" xfId="0" applyFont="1" applyFill="1" applyBorder="1" applyAlignment="1">
      <alignment wrapText="1"/>
    </xf>
    <xf numFmtId="0" fontId="2" fillId="3" borderId="0" xfId="0" applyFont="1" applyFill="1" applyBorder="1" applyAlignment="1"/>
    <xf numFmtId="14" fontId="2" fillId="3" borderId="0" xfId="0" applyNumberFormat="1" applyFont="1" applyFill="1" applyBorder="1" applyAlignment="1"/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5822B-144E-4728-8CC0-33671F8A6FC4}" name="Cargas" displayName="Cargas" ref="A1:L71" totalsRowShown="0" headerRowDxfId="13" dataDxfId="12">
  <autoFilter ref="A1:L71" xr:uid="{5F65822B-144E-4728-8CC0-33671F8A6FC4}"/>
  <tableColumns count="12">
    <tableColumn id="1" xr3:uid="{418F5BAC-308F-4AC7-9D4D-A4E5374E121A}" name="ID_Envio" dataDxfId="11"/>
    <tableColumn id="2" xr3:uid="{5049A6FE-B59E-4693-97DE-70FC1FDF38C2}" name="Guia_Aerea" dataDxfId="10"/>
    <tableColumn id="3" xr3:uid="{BBF73E4E-41E8-419A-A357-D7D57B2871D8}" name="Aerolinea" dataDxfId="9"/>
    <tableColumn id="4" xr3:uid="{4FEC81C4-B52F-43FF-A8C5-5B647C6F5C1F}" name="Origen" dataDxfId="8"/>
    <tableColumn id="5" xr3:uid="{3F05EB7B-BDA4-49C3-AD16-9CE680BE4AD6}" name="Destino" dataDxfId="7"/>
    <tableColumn id="6" xr3:uid="{19E940AA-08DC-4BC8-9817-F13E911C46FD}" name="Fecha_Estimada" dataDxfId="6"/>
    <tableColumn id="7" xr3:uid="{1B41CA5E-BF58-4DB7-BC6C-6EF044DC2F29}" name="Fecha_Real" dataDxfId="5"/>
    <tableColumn id="8" xr3:uid="{50764815-3C77-4E43-B32E-8164EFB293F6}" name="Estado" dataDxfId="4"/>
    <tableColumn id="9" xr3:uid="{F6FC9644-6FCE-4899-9D3C-60A33FE63315}" name="Incidencia" dataDxfId="3"/>
    <tableColumn id="10" xr3:uid="{FA904210-1055-4388-8E8A-D08E77B91F21}" name="Valor_Carga" dataDxfId="2"/>
    <tableColumn id="11" xr3:uid="{6F79BE02-2254-411D-BD65-2548C772E4BA}" name="Dias_Retraso" dataDxfId="1">
      <calculatedColumnFormula>IF(Cargas[[#This Row],[Fecha_Real]]&gt;Cargas[[#This Row],[Fecha_Estimada]],Cargas[[#This Row],[Fecha_Real]]-Cargas[[#This Row],[Fecha_Estimada]],0)</calculatedColumnFormula>
    </tableColumn>
    <tableColumn id="12" xr3:uid="{3AB7B8D8-FE16-4862-AC14-25B8084C5FF9}" name="Cumplimiento de arribo" dataDxfId="0">
      <calculatedColumnFormula>IF(Cargas[[#This Row],[Dias_Retraso]]=0,1,0)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B6" sqref="B6"/>
    </sheetView>
  </sheetViews>
  <sheetFormatPr defaultRowHeight="15"/>
  <cols>
    <col min="1" max="1" width="11" bestFit="1" customWidth="1"/>
    <col min="2" max="2" width="13.5703125" bestFit="1" customWidth="1"/>
    <col min="3" max="3" width="13.140625" bestFit="1" customWidth="1"/>
    <col min="4" max="4" width="16.42578125" bestFit="1" customWidth="1"/>
    <col min="5" max="5" width="10" bestFit="1" customWidth="1"/>
    <col min="6" max="6" width="17.5703125" bestFit="1" customWidth="1"/>
    <col min="7" max="7" width="13.28515625" bestFit="1" customWidth="1"/>
    <col min="8" max="8" width="10" bestFit="1" customWidth="1"/>
    <col min="9" max="9" width="18.85546875" bestFit="1" customWidth="1"/>
    <col min="10" max="10" width="14" bestFit="1" customWidth="1"/>
    <col min="11" max="11" width="14.85546875" style="12" bestFit="1" customWidth="1"/>
    <col min="12" max="12" width="24.42578125" style="12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8" t="s">
        <v>11</v>
      </c>
    </row>
    <row r="2" spans="1:12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46054</v>
      </c>
      <c r="G2" s="4">
        <v>46054</v>
      </c>
      <c r="H2" s="3" t="s">
        <v>16</v>
      </c>
      <c r="I2" s="3" t="s">
        <v>17</v>
      </c>
      <c r="J2" s="3" t="s">
        <v>18</v>
      </c>
      <c r="K2" s="9">
        <f>IF(Cargas[[#This Row],[Fecha_Real]]&gt;Cargas[[#This Row],[Fecha_Estimada]],Cargas[[#This Row],[Fecha_Real]]-Cargas[[#This Row],[Fecha_Estimada]],0)</f>
        <v>0</v>
      </c>
      <c r="L2" s="11">
        <f>IF(Cargas[[#This Row],[Dias_Retraso]]=0,1,0)</f>
        <v>1</v>
      </c>
    </row>
    <row r="3" spans="1:12">
      <c r="A3" s="5">
        <v>2</v>
      </c>
      <c r="B3" s="6" t="s">
        <v>19</v>
      </c>
      <c r="C3" s="6" t="s">
        <v>20</v>
      </c>
      <c r="D3" s="6" t="s">
        <v>21</v>
      </c>
      <c r="E3" s="6" t="s">
        <v>15</v>
      </c>
      <c r="F3" s="7">
        <v>46055</v>
      </c>
      <c r="G3" s="7">
        <v>46056</v>
      </c>
      <c r="H3" s="6" t="s">
        <v>22</v>
      </c>
      <c r="I3" s="6" t="s">
        <v>23</v>
      </c>
      <c r="J3" s="6" t="s">
        <v>24</v>
      </c>
      <c r="K3" s="10">
        <f>IF(Cargas[[#This Row],[Fecha_Real]]&gt;Cargas[[#This Row],[Fecha_Estimada]],Cargas[[#This Row],[Fecha_Real]]-Cargas[[#This Row],[Fecha_Estimada]],0)</f>
        <v>1</v>
      </c>
      <c r="L3" s="10">
        <f>IF(Cargas[[#This Row],[Dias_Retraso]]=0,1,0)</f>
        <v>0</v>
      </c>
    </row>
    <row r="4" spans="1:12">
      <c r="A4" s="2">
        <v>3</v>
      </c>
      <c r="B4" s="3" t="s">
        <v>25</v>
      </c>
      <c r="C4" s="3" t="s">
        <v>26</v>
      </c>
      <c r="D4" s="3" t="s">
        <v>27</v>
      </c>
      <c r="E4" s="3" t="s">
        <v>15</v>
      </c>
      <c r="F4" s="4">
        <v>46055</v>
      </c>
      <c r="G4" s="4">
        <v>46055</v>
      </c>
      <c r="H4" s="3" t="s">
        <v>16</v>
      </c>
      <c r="I4" s="3" t="s">
        <v>17</v>
      </c>
      <c r="J4" s="3" t="s">
        <v>28</v>
      </c>
      <c r="K4" s="11">
        <f>IF(Cargas[[#This Row],[Fecha_Real]]&gt;Cargas[[#This Row],[Fecha_Estimada]],Cargas[[#This Row],[Fecha_Real]]-Cargas[[#This Row],[Fecha_Estimada]],0)</f>
        <v>0</v>
      </c>
      <c r="L4" s="11">
        <f>IF(Cargas[[#This Row],[Dias_Retraso]]=0,1,0)</f>
        <v>1</v>
      </c>
    </row>
    <row r="5" spans="1:12">
      <c r="A5" s="5">
        <v>4</v>
      </c>
      <c r="B5" s="6" t="s">
        <v>29</v>
      </c>
      <c r="C5" s="6" t="s">
        <v>30</v>
      </c>
      <c r="D5" s="6" t="s">
        <v>31</v>
      </c>
      <c r="E5" s="6" t="s">
        <v>15</v>
      </c>
      <c r="F5" s="7">
        <v>46056</v>
      </c>
      <c r="G5" s="7">
        <v>46057</v>
      </c>
      <c r="H5" s="6" t="s">
        <v>32</v>
      </c>
      <c r="I5" s="6" t="s">
        <v>33</v>
      </c>
      <c r="J5" s="6" t="s">
        <v>34</v>
      </c>
      <c r="K5" s="10">
        <f>IF(Cargas[[#This Row],[Fecha_Real]]&gt;Cargas[[#This Row],[Fecha_Estimada]],Cargas[[#This Row],[Fecha_Real]]-Cargas[[#This Row],[Fecha_Estimada]],0)</f>
        <v>1</v>
      </c>
      <c r="L5" s="10">
        <f>IF(Cargas[[#This Row],[Dias_Retraso]]=0,1,0)</f>
        <v>0</v>
      </c>
    </row>
    <row r="6" spans="1:12">
      <c r="A6" s="2">
        <v>5</v>
      </c>
      <c r="B6" s="3" t="s">
        <v>35</v>
      </c>
      <c r="C6" s="3" t="s">
        <v>13</v>
      </c>
      <c r="D6" s="3" t="s">
        <v>36</v>
      </c>
      <c r="E6" s="3" t="s">
        <v>15</v>
      </c>
      <c r="F6" s="4">
        <v>46056</v>
      </c>
      <c r="G6" s="4">
        <v>46056</v>
      </c>
      <c r="H6" s="3" t="s">
        <v>16</v>
      </c>
      <c r="I6" s="3" t="s">
        <v>17</v>
      </c>
      <c r="J6" s="3" t="s">
        <v>37</v>
      </c>
      <c r="K6" s="11">
        <f>IF(Cargas[[#This Row],[Fecha_Real]]&gt;Cargas[[#This Row],[Fecha_Estimada]],Cargas[[#This Row],[Fecha_Real]]-Cargas[[#This Row],[Fecha_Estimada]],0)</f>
        <v>0</v>
      </c>
      <c r="L6" s="11">
        <f>IF(Cargas[[#This Row],[Dias_Retraso]]=0,1,0)</f>
        <v>1</v>
      </c>
    </row>
    <row r="7" spans="1:12">
      <c r="A7" s="5">
        <v>6</v>
      </c>
      <c r="B7" s="6" t="s">
        <v>38</v>
      </c>
      <c r="C7" s="6" t="s">
        <v>20</v>
      </c>
      <c r="D7" s="6" t="s">
        <v>39</v>
      </c>
      <c r="E7" s="6" t="s">
        <v>15</v>
      </c>
      <c r="F7" s="7">
        <v>46057</v>
      </c>
      <c r="G7" s="7">
        <v>46059</v>
      </c>
      <c r="H7" s="6" t="s">
        <v>22</v>
      </c>
      <c r="I7" s="6" t="s">
        <v>40</v>
      </c>
      <c r="J7" s="6" t="s">
        <v>41</v>
      </c>
      <c r="K7" s="10">
        <f>IF(Cargas[[#This Row],[Fecha_Real]]&gt;Cargas[[#This Row],[Fecha_Estimada]],Cargas[[#This Row],[Fecha_Real]]-Cargas[[#This Row],[Fecha_Estimada]],0)</f>
        <v>2</v>
      </c>
      <c r="L7" s="10">
        <f>IF(Cargas[[#This Row],[Dias_Retraso]]=0,1,0)</f>
        <v>0</v>
      </c>
    </row>
    <row r="8" spans="1:12">
      <c r="A8" s="2">
        <v>7</v>
      </c>
      <c r="B8" s="3" t="s">
        <v>42</v>
      </c>
      <c r="C8" s="3" t="s">
        <v>26</v>
      </c>
      <c r="D8" s="3" t="s">
        <v>43</v>
      </c>
      <c r="E8" s="3" t="s">
        <v>15</v>
      </c>
      <c r="F8" s="4">
        <v>46057</v>
      </c>
      <c r="G8" s="4">
        <v>46057</v>
      </c>
      <c r="H8" s="3" t="s">
        <v>16</v>
      </c>
      <c r="I8" s="3" t="s">
        <v>17</v>
      </c>
      <c r="J8" s="3" t="s">
        <v>44</v>
      </c>
      <c r="K8" s="11">
        <f>IF(Cargas[[#This Row],[Fecha_Real]]&gt;Cargas[[#This Row],[Fecha_Estimada]],Cargas[[#This Row],[Fecha_Real]]-Cargas[[#This Row],[Fecha_Estimada]],0)</f>
        <v>0</v>
      </c>
      <c r="L8" s="11">
        <f>IF(Cargas[[#This Row],[Dias_Retraso]]=0,1,0)</f>
        <v>1</v>
      </c>
    </row>
    <row r="9" spans="1:12">
      <c r="A9" s="5">
        <v>8</v>
      </c>
      <c r="B9" s="6" t="s">
        <v>45</v>
      </c>
      <c r="C9" s="6" t="s">
        <v>30</v>
      </c>
      <c r="D9" s="6" t="s">
        <v>46</v>
      </c>
      <c r="E9" s="6" t="s">
        <v>15</v>
      </c>
      <c r="F9" s="7">
        <v>46058</v>
      </c>
      <c r="G9" s="7">
        <v>46058</v>
      </c>
      <c r="H9" s="6" t="s">
        <v>47</v>
      </c>
      <c r="I9" s="6" t="s">
        <v>17</v>
      </c>
      <c r="J9" s="6" t="s">
        <v>48</v>
      </c>
      <c r="K9" s="10">
        <f>IF(Cargas[[#This Row],[Fecha_Real]]&gt;Cargas[[#This Row],[Fecha_Estimada]],Cargas[[#This Row],[Fecha_Real]]-Cargas[[#This Row],[Fecha_Estimada]],0)</f>
        <v>0</v>
      </c>
      <c r="L9" s="10">
        <f>IF(Cargas[[#This Row],[Dias_Retraso]]=0,1,0)</f>
        <v>1</v>
      </c>
    </row>
    <row r="10" spans="1:12">
      <c r="A10" s="2">
        <v>9</v>
      </c>
      <c r="B10" s="3" t="s">
        <v>49</v>
      </c>
      <c r="C10" s="3" t="s">
        <v>13</v>
      </c>
      <c r="D10" s="3" t="s">
        <v>50</v>
      </c>
      <c r="E10" s="3" t="s">
        <v>15</v>
      </c>
      <c r="F10" s="4">
        <v>46058</v>
      </c>
      <c r="G10" s="4">
        <v>46060</v>
      </c>
      <c r="H10" s="3" t="s">
        <v>22</v>
      </c>
      <c r="I10" s="3" t="s">
        <v>23</v>
      </c>
      <c r="J10" s="3" t="s">
        <v>51</v>
      </c>
      <c r="K10" s="11">
        <f>IF(Cargas[[#This Row],[Fecha_Real]]&gt;Cargas[[#This Row],[Fecha_Estimada]],Cargas[[#This Row],[Fecha_Real]]-Cargas[[#This Row],[Fecha_Estimada]],0)</f>
        <v>2</v>
      </c>
      <c r="L10" s="11">
        <f>IF(Cargas[[#This Row],[Dias_Retraso]]=0,1,0)</f>
        <v>0</v>
      </c>
    </row>
    <row r="11" spans="1:12">
      <c r="A11" s="5">
        <v>10</v>
      </c>
      <c r="B11" s="6" t="s">
        <v>52</v>
      </c>
      <c r="C11" s="6" t="s">
        <v>20</v>
      </c>
      <c r="D11" s="6" t="s">
        <v>53</v>
      </c>
      <c r="E11" s="6" t="s">
        <v>15</v>
      </c>
      <c r="F11" s="7">
        <v>46059</v>
      </c>
      <c r="G11" s="7">
        <v>46059</v>
      </c>
      <c r="H11" s="6" t="s">
        <v>16</v>
      </c>
      <c r="I11" s="6" t="s">
        <v>17</v>
      </c>
      <c r="J11" s="6" t="s">
        <v>54</v>
      </c>
      <c r="K11" s="10">
        <f>IF(Cargas[[#This Row],[Fecha_Real]]&gt;Cargas[[#This Row],[Fecha_Estimada]],Cargas[[#This Row],[Fecha_Real]]-Cargas[[#This Row],[Fecha_Estimada]],0)</f>
        <v>0</v>
      </c>
      <c r="L11" s="10">
        <f>IF(Cargas[[#This Row],[Dias_Retraso]]=0,1,0)</f>
        <v>1</v>
      </c>
    </row>
    <row r="12" spans="1:12">
      <c r="A12" s="2">
        <v>11</v>
      </c>
      <c r="B12" s="3" t="s">
        <v>55</v>
      </c>
      <c r="C12" s="3" t="s">
        <v>26</v>
      </c>
      <c r="D12" s="3" t="s">
        <v>56</v>
      </c>
      <c r="E12" s="3" t="s">
        <v>15</v>
      </c>
      <c r="F12" s="4">
        <v>46059</v>
      </c>
      <c r="G12" s="4">
        <v>46059</v>
      </c>
      <c r="H12" s="3" t="s">
        <v>16</v>
      </c>
      <c r="I12" s="3" t="s">
        <v>17</v>
      </c>
      <c r="J12" s="3" t="s">
        <v>57</v>
      </c>
      <c r="K12" s="11">
        <f>IF(Cargas[[#This Row],[Fecha_Real]]&gt;Cargas[[#This Row],[Fecha_Estimada]],Cargas[[#This Row],[Fecha_Real]]-Cargas[[#This Row],[Fecha_Estimada]],0)</f>
        <v>0</v>
      </c>
      <c r="L12" s="11">
        <f>IF(Cargas[[#This Row],[Dias_Retraso]]=0,1,0)</f>
        <v>1</v>
      </c>
    </row>
    <row r="13" spans="1:12">
      <c r="A13" s="5">
        <v>12</v>
      </c>
      <c r="B13" s="6" t="s">
        <v>58</v>
      </c>
      <c r="C13" s="6" t="s">
        <v>30</v>
      </c>
      <c r="D13" s="6" t="s">
        <v>31</v>
      </c>
      <c r="E13" s="6" t="s">
        <v>15</v>
      </c>
      <c r="F13" s="7">
        <v>46060</v>
      </c>
      <c r="G13" s="7">
        <v>46061</v>
      </c>
      <c r="H13" s="6" t="s">
        <v>32</v>
      </c>
      <c r="I13" s="6" t="s">
        <v>33</v>
      </c>
      <c r="J13" s="6" t="s">
        <v>59</v>
      </c>
      <c r="K13" s="10">
        <f>IF(Cargas[[#This Row],[Fecha_Real]]&gt;Cargas[[#This Row],[Fecha_Estimada]],Cargas[[#This Row],[Fecha_Real]]-Cargas[[#This Row],[Fecha_Estimada]],0)</f>
        <v>1</v>
      </c>
      <c r="L13" s="10">
        <f>IF(Cargas[[#This Row],[Dias_Retraso]]=0,1,0)</f>
        <v>0</v>
      </c>
    </row>
    <row r="14" spans="1:12">
      <c r="A14" s="2">
        <v>13</v>
      </c>
      <c r="B14" s="3" t="s">
        <v>60</v>
      </c>
      <c r="C14" s="3" t="s">
        <v>13</v>
      </c>
      <c r="D14" s="3" t="s">
        <v>14</v>
      </c>
      <c r="E14" s="3" t="s">
        <v>15</v>
      </c>
      <c r="F14" s="4">
        <v>46060</v>
      </c>
      <c r="G14" s="4">
        <v>46060</v>
      </c>
      <c r="H14" s="3" t="s">
        <v>16</v>
      </c>
      <c r="I14" s="3" t="s">
        <v>17</v>
      </c>
      <c r="J14" s="3" t="s">
        <v>61</v>
      </c>
      <c r="K14" s="11">
        <f>IF(Cargas[[#This Row],[Fecha_Real]]&gt;Cargas[[#This Row],[Fecha_Estimada]],Cargas[[#This Row],[Fecha_Real]]-Cargas[[#This Row],[Fecha_Estimada]],0)</f>
        <v>0</v>
      </c>
      <c r="L14" s="11">
        <f>IF(Cargas[[#This Row],[Dias_Retraso]]=0,1,0)</f>
        <v>1</v>
      </c>
    </row>
    <row r="15" spans="1:12">
      <c r="A15" s="5">
        <v>14</v>
      </c>
      <c r="B15" s="6" t="s">
        <v>62</v>
      </c>
      <c r="C15" s="6" t="s">
        <v>20</v>
      </c>
      <c r="D15" s="6" t="s">
        <v>21</v>
      </c>
      <c r="E15" s="6" t="s">
        <v>15</v>
      </c>
      <c r="F15" s="7">
        <v>46061</v>
      </c>
      <c r="G15" s="7">
        <v>46062</v>
      </c>
      <c r="H15" s="6" t="s">
        <v>22</v>
      </c>
      <c r="I15" s="6" t="s">
        <v>40</v>
      </c>
      <c r="J15" s="6" t="s">
        <v>63</v>
      </c>
      <c r="K15" s="10">
        <f>IF(Cargas[[#This Row],[Fecha_Real]]&gt;Cargas[[#This Row],[Fecha_Estimada]],Cargas[[#This Row],[Fecha_Real]]-Cargas[[#This Row],[Fecha_Estimada]],0)</f>
        <v>1</v>
      </c>
      <c r="L15" s="10">
        <f>IF(Cargas[[#This Row],[Dias_Retraso]]=0,1,0)</f>
        <v>0</v>
      </c>
    </row>
    <row r="16" spans="1:12">
      <c r="A16" s="2">
        <v>15</v>
      </c>
      <c r="B16" s="3" t="s">
        <v>64</v>
      </c>
      <c r="C16" s="3" t="s">
        <v>26</v>
      </c>
      <c r="D16" s="3" t="s">
        <v>27</v>
      </c>
      <c r="E16" s="3" t="s">
        <v>15</v>
      </c>
      <c r="F16" s="4">
        <v>46061</v>
      </c>
      <c r="G16" s="4">
        <v>46061</v>
      </c>
      <c r="H16" s="3" t="s">
        <v>16</v>
      </c>
      <c r="I16" s="3" t="s">
        <v>17</v>
      </c>
      <c r="J16" s="3" t="s">
        <v>65</v>
      </c>
      <c r="K16" s="11">
        <f>IF(Cargas[[#This Row],[Fecha_Real]]&gt;Cargas[[#This Row],[Fecha_Estimada]],Cargas[[#This Row],[Fecha_Real]]-Cargas[[#This Row],[Fecha_Estimada]],0)</f>
        <v>0</v>
      </c>
      <c r="L16" s="11">
        <f>IF(Cargas[[#This Row],[Dias_Retraso]]=0,1,0)</f>
        <v>1</v>
      </c>
    </row>
    <row r="17" spans="1:12">
      <c r="A17" s="5">
        <v>16</v>
      </c>
      <c r="B17" s="6" t="s">
        <v>66</v>
      </c>
      <c r="C17" s="6" t="s">
        <v>30</v>
      </c>
      <c r="D17" s="6" t="s">
        <v>31</v>
      </c>
      <c r="E17" s="6" t="s">
        <v>15</v>
      </c>
      <c r="F17" s="7">
        <v>46062</v>
      </c>
      <c r="G17" s="7">
        <v>46062</v>
      </c>
      <c r="H17" s="6" t="s">
        <v>47</v>
      </c>
      <c r="I17" s="6" t="s">
        <v>17</v>
      </c>
      <c r="J17" s="6" t="s">
        <v>67</v>
      </c>
      <c r="K17" s="10">
        <f>IF(Cargas[[#This Row],[Fecha_Real]]&gt;Cargas[[#This Row],[Fecha_Estimada]],Cargas[[#This Row],[Fecha_Real]]-Cargas[[#This Row],[Fecha_Estimada]],0)</f>
        <v>0</v>
      </c>
      <c r="L17" s="10">
        <f>IF(Cargas[[#This Row],[Dias_Retraso]]=0,1,0)</f>
        <v>1</v>
      </c>
    </row>
    <row r="18" spans="1:12">
      <c r="A18" s="2">
        <v>17</v>
      </c>
      <c r="B18" s="3" t="s">
        <v>68</v>
      </c>
      <c r="C18" s="3" t="s">
        <v>13</v>
      </c>
      <c r="D18" s="3" t="s">
        <v>39</v>
      </c>
      <c r="E18" s="3" t="s">
        <v>15</v>
      </c>
      <c r="F18" s="4">
        <v>46062</v>
      </c>
      <c r="G18" s="4">
        <v>46064</v>
      </c>
      <c r="H18" s="3" t="s">
        <v>22</v>
      </c>
      <c r="I18" s="3" t="s">
        <v>23</v>
      </c>
      <c r="J18" s="3" t="s">
        <v>69</v>
      </c>
      <c r="K18" s="11">
        <f>IF(Cargas[[#This Row],[Fecha_Real]]&gt;Cargas[[#This Row],[Fecha_Estimada]],Cargas[[#This Row],[Fecha_Real]]-Cargas[[#This Row],[Fecha_Estimada]],0)</f>
        <v>2</v>
      </c>
      <c r="L18" s="11">
        <f>IF(Cargas[[#This Row],[Dias_Retraso]]=0,1,0)</f>
        <v>0</v>
      </c>
    </row>
    <row r="19" spans="1:12">
      <c r="A19" s="5">
        <v>18</v>
      </c>
      <c r="B19" s="6" t="s">
        <v>70</v>
      </c>
      <c r="C19" s="6" t="s">
        <v>20</v>
      </c>
      <c r="D19" s="6" t="s">
        <v>36</v>
      </c>
      <c r="E19" s="6" t="s">
        <v>15</v>
      </c>
      <c r="F19" s="7">
        <v>46063</v>
      </c>
      <c r="G19" s="7">
        <v>46063</v>
      </c>
      <c r="H19" s="6" t="s">
        <v>16</v>
      </c>
      <c r="I19" s="6" t="s">
        <v>17</v>
      </c>
      <c r="J19" s="6" t="s">
        <v>71</v>
      </c>
      <c r="K19" s="10">
        <f>IF(Cargas[[#This Row],[Fecha_Real]]&gt;Cargas[[#This Row],[Fecha_Estimada]],Cargas[[#This Row],[Fecha_Real]]-Cargas[[#This Row],[Fecha_Estimada]],0)</f>
        <v>0</v>
      </c>
      <c r="L19" s="10">
        <f>IF(Cargas[[#This Row],[Dias_Retraso]]=0,1,0)</f>
        <v>1</v>
      </c>
    </row>
    <row r="20" spans="1:12">
      <c r="A20" s="2">
        <v>19</v>
      </c>
      <c r="B20" s="3" t="s">
        <v>72</v>
      </c>
      <c r="C20" s="3" t="s">
        <v>26</v>
      </c>
      <c r="D20" s="3" t="s">
        <v>43</v>
      </c>
      <c r="E20" s="3" t="s">
        <v>15</v>
      </c>
      <c r="F20" s="4">
        <v>46063</v>
      </c>
      <c r="G20" s="4">
        <v>46063</v>
      </c>
      <c r="H20" s="3" t="s">
        <v>16</v>
      </c>
      <c r="I20" s="3" t="s">
        <v>17</v>
      </c>
      <c r="J20" s="3" t="s">
        <v>73</v>
      </c>
      <c r="K20" s="11">
        <f>IF(Cargas[[#This Row],[Fecha_Real]]&gt;Cargas[[#This Row],[Fecha_Estimada]],Cargas[[#This Row],[Fecha_Real]]-Cargas[[#This Row],[Fecha_Estimada]],0)</f>
        <v>0</v>
      </c>
      <c r="L20" s="11">
        <f>IF(Cargas[[#This Row],[Dias_Retraso]]=0,1,0)</f>
        <v>1</v>
      </c>
    </row>
    <row r="21" spans="1:12">
      <c r="A21" s="5">
        <v>20</v>
      </c>
      <c r="B21" s="6" t="s">
        <v>74</v>
      </c>
      <c r="C21" s="6" t="s">
        <v>30</v>
      </c>
      <c r="D21" s="6" t="s">
        <v>46</v>
      </c>
      <c r="E21" s="6" t="s">
        <v>15</v>
      </c>
      <c r="F21" s="7">
        <v>46064</v>
      </c>
      <c r="G21" s="7">
        <v>46065</v>
      </c>
      <c r="H21" s="6" t="s">
        <v>32</v>
      </c>
      <c r="I21" s="6" t="s">
        <v>33</v>
      </c>
      <c r="J21" s="6" t="s">
        <v>75</v>
      </c>
      <c r="K21" s="10">
        <f>IF(Cargas[[#This Row],[Fecha_Real]]&gt;Cargas[[#This Row],[Fecha_Estimada]],Cargas[[#This Row],[Fecha_Real]]-Cargas[[#This Row],[Fecha_Estimada]],0)</f>
        <v>1</v>
      </c>
      <c r="L21" s="10">
        <f>IF(Cargas[[#This Row],[Dias_Retraso]]=0,1,0)</f>
        <v>0</v>
      </c>
    </row>
    <row r="22" spans="1:12">
      <c r="A22" s="2">
        <v>21</v>
      </c>
      <c r="B22" s="3" t="s">
        <v>76</v>
      </c>
      <c r="C22" s="3" t="s">
        <v>13</v>
      </c>
      <c r="D22" s="3" t="s">
        <v>14</v>
      </c>
      <c r="E22" s="3" t="s">
        <v>15</v>
      </c>
      <c r="F22" s="4">
        <v>46064</v>
      </c>
      <c r="G22" s="4">
        <v>46064</v>
      </c>
      <c r="H22" s="3" t="s">
        <v>16</v>
      </c>
      <c r="I22" s="3" t="s">
        <v>17</v>
      </c>
      <c r="J22" s="3" t="s">
        <v>77</v>
      </c>
      <c r="K22" s="11">
        <f>IF(Cargas[[#This Row],[Fecha_Real]]&gt;Cargas[[#This Row],[Fecha_Estimada]],Cargas[[#This Row],[Fecha_Real]]-Cargas[[#This Row],[Fecha_Estimada]],0)</f>
        <v>0</v>
      </c>
      <c r="L22" s="11">
        <f>IF(Cargas[[#This Row],[Dias_Retraso]]=0,1,0)</f>
        <v>1</v>
      </c>
    </row>
    <row r="23" spans="1:12">
      <c r="A23" s="5">
        <v>22</v>
      </c>
      <c r="B23" s="6" t="s">
        <v>78</v>
      </c>
      <c r="C23" s="6" t="s">
        <v>20</v>
      </c>
      <c r="D23" s="6" t="s">
        <v>21</v>
      </c>
      <c r="E23" s="6" t="s">
        <v>15</v>
      </c>
      <c r="F23" s="7">
        <v>46065</v>
      </c>
      <c r="G23" s="7">
        <v>46067</v>
      </c>
      <c r="H23" s="6" t="s">
        <v>22</v>
      </c>
      <c r="I23" s="6" t="s">
        <v>40</v>
      </c>
      <c r="J23" s="6" t="s">
        <v>79</v>
      </c>
      <c r="K23" s="10">
        <f>IF(Cargas[[#This Row],[Fecha_Real]]&gt;Cargas[[#This Row],[Fecha_Estimada]],Cargas[[#This Row],[Fecha_Real]]-Cargas[[#This Row],[Fecha_Estimada]],0)</f>
        <v>2</v>
      </c>
      <c r="L23" s="10">
        <f>IF(Cargas[[#This Row],[Dias_Retraso]]=0,1,0)</f>
        <v>0</v>
      </c>
    </row>
    <row r="24" spans="1:12">
      <c r="A24" s="2">
        <v>23</v>
      </c>
      <c r="B24" s="3" t="s">
        <v>80</v>
      </c>
      <c r="C24" s="3" t="s">
        <v>26</v>
      </c>
      <c r="D24" s="3" t="s">
        <v>56</v>
      </c>
      <c r="E24" s="3" t="s">
        <v>15</v>
      </c>
      <c r="F24" s="4">
        <v>46065</v>
      </c>
      <c r="G24" s="4">
        <v>46065</v>
      </c>
      <c r="H24" s="3" t="s">
        <v>16</v>
      </c>
      <c r="I24" s="3" t="s">
        <v>17</v>
      </c>
      <c r="J24" s="3" t="s">
        <v>81</v>
      </c>
      <c r="K24" s="11">
        <f>IF(Cargas[[#This Row],[Fecha_Real]]&gt;Cargas[[#This Row],[Fecha_Estimada]],Cargas[[#This Row],[Fecha_Real]]-Cargas[[#This Row],[Fecha_Estimada]],0)</f>
        <v>0</v>
      </c>
      <c r="L24" s="11">
        <f>IF(Cargas[[#This Row],[Dias_Retraso]]=0,1,0)</f>
        <v>1</v>
      </c>
    </row>
    <row r="25" spans="1:12">
      <c r="A25" s="5">
        <v>24</v>
      </c>
      <c r="B25" s="6" t="s">
        <v>82</v>
      </c>
      <c r="C25" s="6" t="s">
        <v>30</v>
      </c>
      <c r="D25" s="6" t="s">
        <v>31</v>
      </c>
      <c r="E25" s="6" t="s">
        <v>15</v>
      </c>
      <c r="F25" s="7">
        <v>46066</v>
      </c>
      <c r="G25" s="7">
        <v>46066</v>
      </c>
      <c r="H25" s="6" t="s">
        <v>47</v>
      </c>
      <c r="I25" s="6" t="s">
        <v>17</v>
      </c>
      <c r="J25" s="6" t="s">
        <v>65</v>
      </c>
      <c r="K25" s="10">
        <f>IF(Cargas[[#This Row],[Fecha_Real]]&gt;Cargas[[#This Row],[Fecha_Estimada]],Cargas[[#This Row],[Fecha_Real]]-Cargas[[#This Row],[Fecha_Estimada]],0)</f>
        <v>0</v>
      </c>
      <c r="L25" s="10">
        <f>IF(Cargas[[#This Row],[Dias_Retraso]]=0,1,0)</f>
        <v>1</v>
      </c>
    </row>
    <row r="26" spans="1:12">
      <c r="A26" s="2">
        <v>25</v>
      </c>
      <c r="B26" s="3" t="s">
        <v>83</v>
      </c>
      <c r="C26" s="3" t="s">
        <v>13</v>
      </c>
      <c r="D26" s="3" t="s">
        <v>50</v>
      </c>
      <c r="E26" s="3" t="s">
        <v>15</v>
      </c>
      <c r="F26" s="4">
        <v>46066</v>
      </c>
      <c r="G26" s="4">
        <v>46068</v>
      </c>
      <c r="H26" s="3" t="s">
        <v>22</v>
      </c>
      <c r="I26" s="3" t="s">
        <v>23</v>
      </c>
      <c r="J26" s="3" t="s">
        <v>84</v>
      </c>
      <c r="K26" s="11">
        <f>IF(Cargas[[#This Row],[Fecha_Real]]&gt;Cargas[[#This Row],[Fecha_Estimada]],Cargas[[#This Row],[Fecha_Real]]-Cargas[[#This Row],[Fecha_Estimada]],0)</f>
        <v>2</v>
      </c>
      <c r="L26" s="11">
        <f>IF(Cargas[[#This Row],[Dias_Retraso]]=0,1,0)</f>
        <v>0</v>
      </c>
    </row>
    <row r="27" spans="1:12">
      <c r="A27" s="5">
        <v>26</v>
      </c>
      <c r="B27" s="6" t="s">
        <v>85</v>
      </c>
      <c r="C27" s="6" t="s">
        <v>20</v>
      </c>
      <c r="D27" s="6" t="s">
        <v>39</v>
      </c>
      <c r="E27" s="6" t="s">
        <v>15</v>
      </c>
      <c r="F27" s="7">
        <v>46067</v>
      </c>
      <c r="G27" s="7">
        <v>46067</v>
      </c>
      <c r="H27" s="6" t="s">
        <v>16</v>
      </c>
      <c r="I27" s="6" t="s">
        <v>17</v>
      </c>
      <c r="J27" s="6" t="s">
        <v>86</v>
      </c>
      <c r="K27" s="10">
        <f>IF(Cargas[[#This Row],[Fecha_Real]]&gt;Cargas[[#This Row],[Fecha_Estimada]],Cargas[[#This Row],[Fecha_Real]]-Cargas[[#This Row],[Fecha_Estimada]],0)</f>
        <v>0</v>
      </c>
      <c r="L27" s="10">
        <f>IF(Cargas[[#This Row],[Dias_Retraso]]=0,1,0)</f>
        <v>1</v>
      </c>
    </row>
    <row r="28" spans="1:12">
      <c r="A28" s="2">
        <v>27</v>
      </c>
      <c r="B28" s="3" t="s">
        <v>87</v>
      </c>
      <c r="C28" s="3" t="s">
        <v>26</v>
      </c>
      <c r="D28" s="3" t="s">
        <v>43</v>
      </c>
      <c r="E28" s="3" t="s">
        <v>15</v>
      </c>
      <c r="F28" s="4">
        <v>46067</v>
      </c>
      <c r="G28" s="4">
        <v>46067</v>
      </c>
      <c r="H28" s="3" t="s">
        <v>16</v>
      </c>
      <c r="I28" s="3" t="s">
        <v>17</v>
      </c>
      <c r="J28" s="3" t="s">
        <v>88</v>
      </c>
      <c r="K28" s="11">
        <f>IF(Cargas[[#This Row],[Fecha_Real]]&gt;Cargas[[#This Row],[Fecha_Estimada]],Cargas[[#This Row],[Fecha_Real]]-Cargas[[#This Row],[Fecha_Estimada]],0)</f>
        <v>0</v>
      </c>
      <c r="L28" s="11">
        <f>IF(Cargas[[#This Row],[Dias_Retraso]]=0,1,0)</f>
        <v>1</v>
      </c>
    </row>
    <row r="29" spans="1:12">
      <c r="A29" s="5">
        <v>28</v>
      </c>
      <c r="B29" s="6" t="s">
        <v>89</v>
      </c>
      <c r="C29" s="6" t="s">
        <v>30</v>
      </c>
      <c r="D29" s="6" t="s">
        <v>46</v>
      </c>
      <c r="E29" s="6" t="s">
        <v>15</v>
      </c>
      <c r="F29" s="7">
        <v>46068</v>
      </c>
      <c r="G29" s="7">
        <v>46069</v>
      </c>
      <c r="H29" s="6" t="s">
        <v>32</v>
      </c>
      <c r="I29" s="6" t="s">
        <v>33</v>
      </c>
      <c r="J29" s="6" t="s">
        <v>90</v>
      </c>
      <c r="K29" s="10">
        <f>IF(Cargas[[#This Row],[Fecha_Real]]&gt;Cargas[[#This Row],[Fecha_Estimada]],Cargas[[#This Row],[Fecha_Real]]-Cargas[[#This Row],[Fecha_Estimada]],0)</f>
        <v>1</v>
      </c>
      <c r="L29" s="10">
        <f>IF(Cargas[[#This Row],[Dias_Retraso]]=0,1,0)</f>
        <v>0</v>
      </c>
    </row>
    <row r="30" spans="1:12">
      <c r="A30" s="2">
        <v>29</v>
      </c>
      <c r="B30" s="3" t="s">
        <v>91</v>
      </c>
      <c r="C30" s="3" t="s">
        <v>13</v>
      </c>
      <c r="D30" s="3" t="s">
        <v>14</v>
      </c>
      <c r="E30" s="3" t="s">
        <v>15</v>
      </c>
      <c r="F30" s="4">
        <v>46068</v>
      </c>
      <c r="G30" s="4">
        <v>46068</v>
      </c>
      <c r="H30" s="3" t="s">
        <v>16</v>
      </c>
      <c r="I30" s="3" t="s">
        <v>17</v>
      </c>
      <c r="J30" s="3" t="s">
        <v>92</v>
      </c>
      <c r="K30" s="11">
        <f>IF(Cargas[[#This Row],[Fecha_Real]]&gt;Cargas[[#This Row],[Fecha_Estimada]],Cargas[[#This Row],[Fecha_Real]]-Cargas[[#This Row],[Fecha_Estimada]],0)</f>
        <v>0</v>
      </c>
      <c r="L30" s="11">
        <f>IF(Cargas[[#This Row],[Dias_Retraso]]=0,1,0)</f>
        <v>1</v>
      </c>
    </row>
    <row r="31" spans="1:12">
      <c r="A31" s="5">
        <v>30</v>
      </c>
      <c r="B31" s="6" t="s">
        <v>93</v>
      </c>
      <c r="C31" s="6" t="s">
        <v>20</v>
      </c>
      <c r="D31" s="6" t="s">
        <v>21</v>
      </c>
      <c r="E31" s="6" t="s">
        <v>15</v>
      </c>
      <c r="F31" s="7">
        <v>46069</v>
      </c>
      <c r="G31" s="7">
        <v>46071</v>
      </c>
      <c r="H31" s="6" t="s">
        <v>22</v>
      </c>
      <c r="I31" s="6" t="s">
        <v>40</v>
      </c>
      <c r="J31" s="6" t="s">
        <v>94</v>
      </c>
      <c r="K31" s="10">
        <f>IF(Cargas[[#This Row],[Fecha_Real]]&gt;Cargas[[#This Row],[Fecha_Estimada]],Cargas[[#This Row],[Fecha_Real]]-Cargas[[#This Row],[Fecha_Estimada]],0)</f>
        <v>2</v>
      </c>
      <c r="L31" s="10">
        <f>IF(Cargas[[#This Row],[Dias_Retraso]]=0,1,0)</f>
        <v>0</v>
      </c>
    </row>
    <row r="32" spans="1:12">
      <c r="A32" s="2">
        <v>31</v>
      </c>
      <c r="B32" s="3" t="s">
        <v>95</v>
      </c>
      <c r="C32" s="3" t="s">
        <v>26</v>
      </c>
      <c r="D32" s="3" t="s">
        <v>27</v>
      </c>
      <c r="E32" s="3" t="s">
        <v>15</v>
      </c>
      <c r="F32" s="4">
        <v>46069</v>
      </c>
      <c r="G32" s="4">
        <v>46069</v>
      </c>
      <c r="H32" s="3" t="s">
        <v>16</v>
      </c>
      <c r="I32" s="3" t="s">
        <v>17</v>
      </c>
      <c r="J32" s="3" t="s">
        <v>96</v>
      </c>
      <c r="K32" s="11">
        <f>IF(Cargas[[#This Row],[Fecha_Real]]&gt;Cargas[[#This Row],[Fecha_Estimada]],Cargas[[#This Row],[Fecha_Real]]-Cargas[[#This Row],[Fecha_Estimada]],0)</f>
        <v>0</v>
      </c>
      <c r="L32" s="11">
        <f>IF(Cargas[[#This Row],[Dias_Retraso]]=0,1,0)</f>
        <v>1</v>
      </c>
    </row>
    <row r="33" spans="1:12">
      <c r="A33" s="5">
        <v>32</v>
      </c>
      <c r="B33" s="6" t="s">
        <v>97</v>
      </c>
      <c r="C33" s="6" t="s">
        <v>30</v>
      </c>
      <c r="D33" s="6" t="s">
        <v>31</v>
      </c>
      <c r="E33" s="6" t="s">
        <v>15</v>
      </c>
      <c r="F33" s="7">
        <v>46070</v>
      </c>
      <c r="G33" s="7">
        <v>46070</v>
      </c>
      <c r="H33" s="6" t="s">
        <v>47</v>
      </c>
      <c r="I33" s="6" t="s">
        <v>17</v>
      </c>
      <c r="J33" s="6" t="s">
        <v>98</v>
      </c>
      <c r="K33" s="10">
        <f>IF(Cargas[[#This Row],[Fecha_Real]]&gt;Cargas[[#This Row],[Fecha_Estimada]],Cargas[[#This Row],[Fecha_Real]]-Cargas[[#This Row],[Fecha_Estimada]],0)</f>
        <v>0</v>
      </c>
      <c r="L33" s="10">
        <f>IF(Cargas[[#This Row],[Dias_Retraso]]=0,1,0)</f>
        <v>1</v>
      </c>
    </row>
    <row r="34" spans="1:12">
      <c r="A34" s="2">
        <v>33</v>
      </c>
      <c r="B34" s="3" t="s">
        <v>99</v>
      </c>
      <c r="C34" s="3" t="s">
        <v>13</v>
      </c>
      <c r="D34" s="3" t="s">
        <v>39</v>
      </c>
      <c r="E34" s="3" t="s">
        <v>15</v>
      </c>
      <c r="F34" s="4">
        <v>46070</v>
      </c>
      <c r="G34" s="4">
        <v>46072</v>
      </c>
      <c r="H34" s="3" t="s">
        <v>22</v>
      </c>
      <c r="I34" s="3" t="s">
        <v>23</v>
      </c>
      <c r="J34" s="3" t="s">
        <v>100</v>
      </c>
      <c r="K34" s="11">
        <f>IF(Cargas[[#This Row],[Fecha_Real]]&gt;Cargas[[#This Row],[Fecha_Estimada]],Cargas[[#This Row],[Fecha_Real]]-Cargas[[#This Row],[Fecha_Estimada]],0)</f>
        <v>2</v>
      </c>
      <c r="L34" s="11">
        <f>IF(Cargas[[#This Row],[Dias_Retraso]]=0,1,0)</f>
        <v>0</v>
      </c>
    </row>
    <row r="35" spans="1:12">
      <c r="A35" s="5">
        <v>34</v>
      </c>
      <c r="B35" s="6" t="s">
        <v>101</v>
      </c>
      <c r="C35" s="6" t="s">
        <v>20</v>
      </c>
      <c r="D35" s="6" t="s">
        <v>36</v>
      </c>
      <c r="E35" s="6" t="s">
        <v>15</v>
      </c>
      <c r="F35" s="7">
        <v>46071</v>
      </c>
      <c r="G35" s="7">
        <v>46071</v>
      </c>
      <c r="H35" s="6" t="s">
        <v>16</v>
      </c>
      <c r="I35" s="6" t="s">
        <v>17</v>
      </c>
      <c r="J35" s="6" t="s">
        <v>102</v>
      </c>
      <c r="K35" s="10">
        <f>IF(Cargas[[#This Row],[Fecha_Real]]&gt;Cargas[[#This Row],[Fecha_Estimada]],Cargas[[#This Row],[Fecha_Real]]-Cargas[[#This Row],[Fecha_Estimada]],0)</f>
        <v>0</v>
      </c>
      <c r="L35" s="10">
        <f>IF(Cargas[[#This Row],[Dias_Retraso]]=0,1,0)</f>
        <v>1</v>
      </c>
    </row>
    <row r="36" spans="1:12">
      <c r="A36" s="2">
        <v>35</v>
      </c>
      <c r="B36" s="3" t="s">
        <v>103</v>
      </c>
      <c r="C36" s="3" t="s">
        <v>26</v>
      </c>
      <c r="D36" s="3" t="s">
        <v>56</v>
      </c>
      <c r="E36" s="3" t="s">
        <v>15</v>
      </c>
      <c r="F36" s="4">
        <v>46071</v>
      </c>
      <c r="G36" s="4">
        <v>46071</v>
      </c>
      <c r="H36" s="3" t="s">
        <v>16</v>
      </c>
      <c r="I36" s="3" t="s">
        <v>17</v>
      </c>
      <c r="J36" s="3" t="s">
        <v>104</v>
      </c>
      <c r="K36" s="11">
        <f>IF(Cargas[[#This Row],[Fecha_Real]]&gt;Cargas[[#This Row],[Fecha_Estimada]],Cargas[[#This Row],[Fecha_Real]]-Cargas[[#This Row],[Fecha_Estimada]],0)</f>
        <v>0</v>
      </c>
      <c r="L36" s="11">
        <f>IF(Cargas[[#This Row],[Dias_Retraso]]=0,1,0)</f>
        <v>1</v>
      </c>
    </row>
    <row r="37" spans="1:12">
      <c r="A37" s="5">
        <v>36</v>
      </c>
      <c r="B37" s="6" t="s">
        <v>105</v>
      </c>
      <c r="C37" s="6" t="s">
        <v>30</v>
      </c>
      <c r="D37" s="6" t="s">
        <v>31</v>
      </c>
      <c r="E37" s="6" t="s">
        <v>15</v>
      </c>
      <c r="F37" s="7">
        <v>46072</v>
      </c>
      <c r="G37" s="7">
        <v>46073</v>
      </c>
      <c r="H37" s="6" t="s">
        <v>32</v>
      </c>
      <c r="I37" s="6" t="s">
        <v>33</v>
      </c>
      <c r="J37" s="6" t="s">
        <v>106</v>
      </c>
      <c r="K37" s="10">
        <f>IF(Cargas[[#This Row],[Fecha_Real]]&gt;Cargas[[#This Row],[Fecha_Estimada]],Cargas[[#This Row],[Fecha_Real]]-Cargas[[#This Row],[Fecha_Estimada]],0)</f>
        <v>1</v>
      </c>
      <c r="L37" s="10">
        <f>IF(Cargas[[#This Row],[Dias_Retraso]]=0,1,0)</f>
        <v>0</v>
      </c>
    </row>
    <row r="38" spans="1:12">
      <c r="A38" s="2">
        <v>37</v>
      </c>
      <c r="B38" s="3" t="s">
        <v>107</v>
      </c>
      <c r="C38" s="3" t="s">
        <v>13</v>
      </c>
      <c r="D38" s="3" t="s">
        <v>14</v>
      </c>
      <c r="E38" s="3" t="s">
        <v>15</v>
      </c>
      <c r="F38" s="4">
        <v>46072</v>
      </c>
      <c r="G38" s="4">
        <v>46072</v>
      </c>
      <c r="H38" s="3" t="s">
        <v>16</v>
      </c>
      <c r="I38" s="3" t="s">
        <v>17</v>
      </c>
      <c r="J38" s="3" t="s">
        <v>108</v>
      </c>
      <c r="K38" s="11">
        <f>IF(Cargas[[#This Row],[Fecha_Real]]&gt;Cargas[[#This Row],[Fecha_Estimada]],Cargas[[#This Row],[Fecha_Real]]-Cargas[[#This Row],[Fecha_Estimada]],0)</f>
        <v>0</v>
      </c>
      <c r="L38" s="11">
        <f>IF(Cargas[[#This Row],[Dias_Retraso]]=0,1,0)</f>
        <v>1</v>
      </c>
    </row>
    <row r="39" spans="1:12">
      <c r="A39" s="5">
        <v>38</v>
      </c>
      <c r="B39" s="6" t="s">
        <v>109</v>
      </c>
      <c r="C39" s="6" t="s">
        <v>20</v>
      </c>
      <c r="D39" s="6" t="s">
        <v>21</v>
      </c>
      <c r="E39" s="6" t="s">
        <v>15</v>
      </c>
      <c r="F39" s="7">
        <v>46073</v>
      </c>
      <c r="G39" s="7">
        <v>46074</v>
      </c>
      <c r="H39" s="6" t="s">
        <v>22</v>
      </c>
      <c r="I39" s="6" t="s">
        <v>40</v>
      </c>
      <c r="J39" s="6" t="s">
        <v>110</v>
      </c>
      <c r="K39" s="10">
        <f>IF(Cargas[[#This Row],[Fecha_Real]]&gt;Cargas[[#This Row],[Fecha_Estimada]],Cargas[[#This Row],[Fecha_Real]]-Cargas[[#This Row],[Fecha_Estimada]],0)</f>
        <v>1</v>
      </c>
      <c r="L39" s="10">
        <f>IF(Cargas[[#This Row],[Dias_Retraso]]=0,1,0)</f>
        <v>0</v>
      </c>
    </row>
    <row r="40" spans="1:12">
      <c r="A40" s="2">
        <v>39</v>
      </c>
      <c r="B40" s="3" t="s">
        <v>111</v>
      </c>
      <c r="C40" s="3" t="s">
        <v>26</v>
      </c>
      <c r="D40" s="3" t="s">
        <v>43</v>
      </c>
      <c r="E40" s="3" t="s">
        <v>15</v>
      </c>
      <c r="F40" s="4">
        <v>46073</v>
      </c>
      <c r="G40" s="4">
        <v>46073</v>
      </c>
      <c r="H40" s="3" t="s">
        <v>16</v>
      </c>
      <c r="I40" s="3" t="s">
        <v>17</v>
      </c>
      <c r="J40" s="3" t="s">
        <v>112</v>
      </c>
      <c r="K40" s="11">
        <f>IF(Cargas[[#This Row],[Fecha_Real]]&gt;Cargas[[#This Row],[Fecha_Estimada]],Cargas[[#This Row],[Fecha_Real]]-Cargas[[#This Row],[Fecha_Estimada]],0)</f>
        <v>0</v>
      </c>
      <c r="L40" s="11">
        <f>IF(Cargas[[#This Row],[Dias_Retraso]]=0,1,0)</f>
        <v>1</v>
      </c>
    </row>
    <row r="41" spans="1:12">
      <c r="A41" s="5">
        <v>40</v>
      </c>
      <c r="B41" s="6" t="s">
        <v>113</v>
      </c>
      <c r="C41" s="6" t="s">
        <v>30</v>
      </c>
      <c r="D41" s="6" t="s">
        <v>46</v>
      </c>
      <c r="E41" s="6" t="s">
        <v>15</v>
      </c>
      <c r="F41" s="7">
        <v>46074</v>
      </c>
      <c r="G41" s="7">
        <v>46074</v>
      </c>
      <c r="H41" s="6" t="s">
        <v>47</v>
      </c>
      <c r="I41" s="6" t="s">
        <v>17</v>
      </c>
      <c r="J41" s="6" t="s">
        <v>114</v>
      </c>
      <c r="K41" s="10">
        <f>IF(Cargas[[#This Row],[Fecha_Real]]&gt;Cargas[[#This Row],[Fecha_Estimada]],Cargas[[#This Row],[Fecha_Real]]-Cargas[[#This Row],[Fecha_Estimada]],0)</f>
        <v>0</v>
      </c>
      <c r="L41" s="10">
        <f>IF(Cargas[[#This Row],[Dias_Retraso]]=0,1,0)</f>
        <v>1</v>
      </c>
    </row>
    <row r="42" spans="1:12">
      <c r="A42" s="2">
        <v>41</v>
      </c>
      <c r="B42" s="3" t="s">
        <v>115</v>
      </c>
      <c r="C42" s="3" t="s">
        <v>13</v>
      </c>
      <c r="D42" s="3" t="s">
        <v>50</v>
      </c>
      <c r="E42" s="3" t="s">
        <v>15</v>
      </c>
      <c r="F42" s="4">
        <v>46074</v>
      </c>
      <c r="G42" s="4">
        <v>46076</v>
      </c>
      <c r="H42" s="3" t="s">
        <v>22</v>
      </c>
      <c r="I42" s="3" t="s">
        <v>23</v>
      </c>
      <c r="J42" s="3" t="s">
        <v>116</v>
      </c>
      <c r="K42" s="11">
        <f>IF(Cargas[[#This Row],[Fecha_Real]]&gt;Cargas[[#This Row],[Fecha_Estimada]],Cargas[[#This Row],[Fecha_Real]]-Cargas[[#This Row],[Fecha_Estimada]],0)</f>
        <v>2</v>
      </c>
      <c r="L42" s="11">
        <f>IF(Cargas[[#This Row],[Dias_Retraso]]=0,1,0)</f>
        <v>0</v>
      </c>
    </row>
    <row r="43" spans="1:12">
      <c r="A43" s="5">
        <v>42</v>
      </c>
      <c r="B43" s="6" t="s">
        <v>117</v>
      </c>
      <c r="C43" s="6" t="s">
        <v>20</v>
      </c>
      <c r="D43" s="6" t="s">
        <v>39</v>
      </c>
      <c r="E43" s="6" t="s">
        <v>15</v>
      </c>
      <c r="F43" s="7">
        <v>46075</v>
      </c>
      <c r="G43" s="7">
        <v>46075</v>
      </c>
      <c r="H43" s="6" t="s">
        <v>16</v>
      </c>
      <c r="I43" s="6" t="s">
        <v>17</v>
      </c>
      <c r="J43" s="6" t="s">
        <v>118</v>
      </c>
      <c r="K43" s="10">
        <f>IF(Cargas[[#This Row],[Fecha_Real]]&gt;Cargas[[#This Row],[Fecha_Estimada]],Cargas[[#This Row],[Fecha_Real]]-Cargas[[#This Row],[Fecha_Estimada]],0)</f>
        <v>0</v>
      </c>
      <c r="L43" s="10">
        <f>IF(Cargas[[#This Row],[Dias_Retraso]]=0,1,0)</f>
        <v>1</v>
      </c>
    </row>
    <row r="44" spans="1:12">
      <c r="A44" s="2">
        <v>43</v>
      </c>
      <c r="B44" s="3" t="s">
        <v>119</v>
      </c>
      <c r="C44" s="3" t="s">
        <v>26</v>
      </c>
      <c r="D44" s="3" t="s">
        <v>56</v>
      </c>
      <c r="E44" s="3" t="s">
        <v>15</v>
      </c>
      <c r="F44" s="4">
        <v>46075</v>
      </c>
      <c r="G44" s="4">
        <v>46075</v>
      </c>
      <c r="H44" s="3" t="s">
        <v>16</v>
      </c>
      <c r="I44" s="3" t="s">
        <v>17</v>
      </c>
      <c r="J44" s="3" t="s">
        <v>120</v>
      </c>
      <c r="K44" s="11">
        <f>IF(Cargas[[#This Row],[Fecha_Real]]&gt;Cargas[[#This Row],[Fecha_Estimada]],Cargas[[#This Row],[Fecha_Real]]-Cargas[[#This Row],[Fecha_Estimada]],0)</f>
        <v>0</v>
      </c>
      <c r="L44" s="11">
        <f>IF(Cargas[[#This Row],[Dias_Retraso]]=0,1,0)</f>
        <v>1</v>
      </c>
    </row>
    <row r="45" spans="1:12">
      <c r="A45" s="5">
        <v>44</v>
      </c>
      <c r="B45" s="6" t="s">
        <v>121</v>
      </c>
      <c r="C45" s="6" t="s">
        <v>30</v>
      </c>
      <c r="D45" s="6" t="s">
        <v>31</v>
      </c>
      <c r="E45" s="6" t="s">
        <v>15</v>
      </c>
      <c r="F45" s="7">
        <v>46076</v>
      </c>
      <c r="G45" s="7">
        <v>46077</v>
      </c>
      <c r="H45" s="6" t="s">
        <v>32</v>
      </c>
      <c r="I45" s="6" t="s">
        <v>33</v>
      </c>
      <c r="J45" s="6" t="s">
        <v>28</v>
      </c>
      <c r="K45" s="10">
        <f>IF(Cargas[[#This Row],[Fecha_Real]]&gt;Cargas[[#This Row],[Fecha_Estimada]],Cargas[[#This Row],[Fecha_Real]]-Cargas[[#This Row],[Fecha_Estimada]],0)</f>
        <v>1</v>
      </c>
      <c r="L45" s="10">
        <f>IF(Cargas[[#This Row],[Dias_Retraso]]=0,1,0)</f>
        <v>0</v>
      </c>
    </row>
    <row r="46" spans="1:12">
      <c r="A46" s="2">
        <v>45</v>
      </c>
      <c r="B46" s="3" t="s">
        <v>122</v>
      </c>
      <c r="C46" s="3" t="s">
        <v>13</v>
      </c>
      <c r="D46" s="3" t="s">
        <v>14</v>
      </c>
      <c r="E46" s="3" t="s">
        <v>15</v>
      </c>
      <c r="F46" s="4">
        <v>46076</v>
      </c>
      <c r="G46" s="4">
        <v>46076</v>
      </c>
      <c r="H46" s="3" t="s">
        <v>16</v>
      </c>
      <c r="I46" s="3" t="s">
        <v>17</v>
      </c>
      <c r="J46" s="3" t="s">
        <v>123</v>
      </c>
      <c r="K46" s="11">
        <f>IF(Cargas[[#This Row],[Fecha_Real]]&gt;Cargas[[#This Row],[Fecha_Estimada]],Cargas[[#This Row],[Fecha_Real]]-Cargas[[#This Row],[Fecha_Estimada]],0)</f>
        <v>0</v>
      </c>
      <c r="L46" s="11">
        <f>IF(Cargas[[#This Row],[Dias_Retraso]]=0,1,0)</f>
        <v>1</v>
      </c>
    </row>
    <row r="47" spans="1:12">
      <c r="A47" s="5">
        <v>46</v>
      </c>
      <c r="B47" s="6" t="s">
        <v>124</v>
      </c>
      <c r="C47" s="6" t="s">
        <v>20</v>
      </c>
      <c r="D47" s="6" t="s">
        <v>21</v>
      </c>
      <c r="E47" s="6" t="s">
        <v>15</v>
      </c>
      <c r="F47" s="7">
        <v>46077</v>
      </c>
      <c r="G47" s="7">
        <v>46079</v>
      </c>
      <c r="H47" s="6" t="s">
        <v>22</v>
      </c>
      <c r="I47" s="6" t="s">
        <v>40</v>
      </c>
      <c r="J47" s="6" t="s">
        <v>125</v>
      </c>
      <c r="K47" s="10">
        <f>IF(Cargas[[#This Row],[Fecha_Real]]&gt;Cargas[[#This Row],[Fecha_Estimada]],Cargas[[#This Row],[Fecha_Real]]-Cargas[[#This Row],[Fecha_Estimada]],0)</f>
        <v>2</v>
      </c>
      <c r="L47" s="10">
        <f>IF(Cargas[[#This Row],[Dias_Retraso]]=0,1,0)</f>
        <v>0</v>
      </c>
    </row>
    <row r="48" spans="1:12">
      <c r="A48" s="2">
        <v>47</v>
      </c>
      <c r="B48" s="3" t="s">
        <v>126</v>
      </c>
      <c r="C48" s="3" t="s">
        <v>26</v>
      </c>
      <c r="D48" s="3" t="s">
        <v>27</v>
      </c>
      <c r="E48" s="3" t="s">
        <v>15</v>
      </c>
      <c r="F48" s="4">
        <v>46077</v>
      </c>
      <c r="G48" s="4">
        <v>46077</v>
      </c>
      <c r="H48" s="3" t="s">
        <v>16</v>
      </c>
      <c r="I48" s="3" t="s">
        <v>17</v>
      </c>
      <c r="J48" s="3" t="s">
        <v>127</v>
      </c>
      <c r="K48" s="11">
        <f>IF(Cargas[[#This Row],[Fecha_Real]]&gt;Cargas[[#This Row],[Fecha_Estimada]],Cargas[[#This Row],[Fecha_Real]]-Cargas[[#This Row],[Fecha_Estimada]],0)</f>
        <v>0</v>
      </c>
      <c r="L48" s="11">
        <f>IF(Cargas[[#This Row],[Dias_Retraso]]=0,1,0)</f>
        <v>1</v>
      </c>
    </row>
    <row r="49" spans="1:12">
      <c r="A49" s="5">
        <v>48</v>
      </c>
      <c r="B49" s="6" t="s">
        <v>128</v>
      </c>
      <c r="C49" s="6" t="s">
        <v>30</v>
      </c>
      <c r="D49" s="6" t="s">
        <v>31</v>
      </c>
      <c r="E49" s="6" t="s">
        <v>15</v>
      </c>
      <c r="F49" s="7">
        <v>46078</v>
      </c>
      <c r="G49" s="7">
        <v>46078</v>
      </c>
      <c r="H49" s="6" t="s">
        <v>47</v>
      </c>
      <c r="I49" s="6" t="s">
        <v>17</v>
      </c>
      <c r="J49" s="6" t="s">
        <v>129</v>
      </c>
      <c r="K49" s="10">
        <f>IF(Cargas[[#This Row],[Fecha_Real]]&gt;Cargas[[#This Row],[Fecha_Estimada]],Cargas[[#This Row],[Fecha_Real]]-Cargas[[#This Row],[Fecha_Estimada]],0)</f>
        <v>0</v>
      </c>
      <c r="L49" s="10">
        <f>IF(Cargas[[#This Row],[Dias_Retraso]]=0,1,0)</f>
        <v>1</v>
      </c>
    </row>
    <row r="50" spans="1:12">
      <c r="A50" s="2">
        <v>49</v>
      </c>
      <c r="B50" s="3" t="s">
        <v>130</v>
      </c>
      <c r="C50" s="3" t="s">
        <v>13</v>
      </c>
      <c r="D50" s="3" t="s">
        <v>39</v>
      </c>
      <c r="E50" s="3" t="s">
        <v>15</v>
      </c>
      <c r="F50" s="4">
        <v>46078</v>
      </c>
      <c r="G50" s="4">
        <v>46080</v>
      </c>
      <c r="H50" s="3" t="s">
        <v>22</v>
      </c>
      <c r="I50" s="3" t="s">
        <v>23</v>
      </c>
      <c r="J50" s="3" t="s">
        <v>131</v>
      </c>
      <c r="K50" s="11">
        <f>IF(Cargas[[#This Row],[Fecha_Real]]&gt;Cargas[[#This Row],[Fecha_Estimada]],Cargas[[#This Row],[Fecha_Real]]-Cargas[[#This Row],[Fecha_Estimada]],0)</f>
        <v>2</v>
      </c>
      <c r="L50" s="11">
        <f>IF(Cargas[[#This Row],[Dias_Retraso]]=0,1,0)</f>
        <v>0</v>
      </c>
    </row>
    <row r="51" spans="1:12">
      <c r="A51" s="5">
        <v>50</v>
      </c>
      <c r="B51" s="6" t="s">
        <v>132</v>
      </c>
      <c r="C51" s="6" t="s">
        <v>20</v>
      </c>
      <c r="D51" s="6" t="s">
        <v>36</v>
      </c>
      <c r="E51" s="6" t="s">
        <v>15</v>
      </c>
      <c r="F51" s="7">
        <v>46079</v>
      </c>
      <c r="G51" s="7">
        <v>46079</v>
      </c>
      <c r="H51" s="6" t="s">
        <v>16</v>
      </c>
      <c r="I51" s="6" t="s">
        <v>17</v>
      </c>
      <c r="J51" s="6" t="s">
        <v>133</v>
      </c>
      <c r="K51" s="10">
        <f>IF(Cargas[[#This Row],[Fecha_Real]]&gt;Cargas[[#This Row],[Fecha_Estimada]],Cargas[[#This Row],[Fecha_Real]]-Cargas[[#This Row],[Fecha_Estimada]],0)</f>
        <v>0</v>
      </c>
      <c r="L51" s="10">
        <f>IF(Cargas[[#This Row],[Dias_Retraso]]=0,1,0)</f>
        <v>1</v>
      </c>
    </row>
    <row r="52" spans="1:12">
      <c r="A52" s="2">
        <v>51</v>
      </c>
      <c r="B52" s="3" t="s">
        <v>134</v>
      </c>
      <c r="C52" s="3" t="s">
        <v>26</v>
      </c>
      <c r="D52" s="3" t="s">
        <v>43</v>
      </c>
      <c r="E52" s="3" t="s">
        <v>15</v>
      </c>
      <c r="F52" s="4">
        <v>46079</v>
      </c>
      <c r="G52" s="4">
        <v>46079</v>
      </c>
      <c r="H52" s="3" t="s">
        <v>16</v>
      </c>
      <c r="I52" s="3" t="s">
        <v>17</v>
      </c>
      <c r="J52" s="3" t="s">
        <v>59</v>
      </c>
      <c r="K52" s="11">
        <f>IF(Cargas[[#This Row],[Fecha_Real]]&gt;Cargas[[#This Row],[Fecha_Estimada]],Cargas[[#This Row],[Fecha_Real]]-Cargas[[#This Row],[Fecha_Estimada]],0)</f>
        <v>0</v>
      </c>
      <c r="L52" s="11">
        <f>IF(Cargas[[#This Row],[Dias_Retraso]]=0,1,0)</f>
        <v>1</v>
      </c>
    </row>
    <row r="53" spans="1:12">
      <c r="A53" s="5">
        <v>52</v>
      </c>
      <c r="B53" s="6" t="s">
        <v>135</v>
      </c>
      <c r="C53" s="6" t="s">
        <v>30</v>
      </c>
      <c r="D53" s="6" t="s">
        <v>46</v>
      </c>
      <c r="E53" s="6" t="s">
        <v>15</v>
      </c>
      <c r="F53" s="7">
        <v>46080</v>
      </c>
      <c r="G53" s="7">
        <v>46081</v>
      </c>
      <c r="H53" s="6" t="s">
        <v>32</v>
      </c>
      <c r="I53" s="6" t="s">
        <v>33</v>
      </c>
      <c r="J53" s="6" t="s">
        <v>136</v>
      </c>
      <c r="K53" s="10">
        <f>IF(Cargas[[#This Row],[Fecha_Real]]&gt;Cargas[[#This Row],[Fecha_Estimada]],Cargas[[#This Row],[Fecha_Real]]-Cargas[[#This Row],[Fecha_Estimada]],0)</f>
        <v>1</v>
      </c>
      <c r="L53" s="10">
        <f>IF(Cargas[[#This Row],[Dias_Retraso]]=0,1,0)</f>
        <v>0</v>
      </c>
    </row>
    <row r="54" spans="1:12">
      <c r="A54" s="2">
        <v>53</v>
      </c>
      <c r="B54" s="3" t="s">
        <v>137</v>
      </c>
      <c r="C54" s="3" t="s">
        <v>13</v>
      </c>
      <c r="D54" s="3" t="s">
        <v>14</v>
      </c>
      <c r="E54" s="3" t="s">
        <v>15</v>
      </c>
      <c r="F54" s="4">
        <v>46080</v>
      </c>
      <c r="G54" s="4">
        <v>46080</v>
      </c>
      <c r="H54" s="3" t="s">
        <v>16</v>
      </c>
      <c r="I54" s="3" t="s">
        <v>17</v>
      </c>
      <c r="J54" s="3" t="s">
        <v>138</v>
      </c>
      <c r="K54" s="11">
        <f>IF(Cargas[[#This Row],[Fecha_Real]]&gt;Cargas[[#This Row],[Fecha_Estimada]],Cargas[[#This Row],[Fecha_Real]]-Cargas[[#This Row],[Fecha_Estimada]],0)</f>
        <v>0</v>
      </c>
      <c r="L54" s="11">
        <f>IF(Cargas[[#This Row],[Dias_Retraso]]=0,1,0)</f>
        <v>1</v>
      </c>
    </row>
    <row r="55" spans="1:12">
      <c r="A55" s="5">
        <v>54</v>
      </c>
      <c r="B55" s="6" t="s">
        <v>139</v>
      </c>
      <c r="C55" s="6" t="s">
        <v>20</v>
      </c>
      <c r="D55" s="6" t="s">
        <v>21</v>
      </c>
      <c r="E55" s="6" t="s">
        <v>15</v>
      </c>
      <c r="F55" s="7">
        <v>46081</v>
      </c>
      <c r="G55" s="7">
        <v>46082</v>
      </c>
      <c r="H55" s="6" t="s">
        <v>22</v>
      </c>
      <c r="I55" s="6" t="s">
        <v>40</v>
      </c>
      <c r="J55" s="6" t="s">
        <v>41</v>
      </c>
      <c r="K55" s="10">
        <f>IF(Cargas[[#This Row],[Fecha_Real]]&gt;Cargas[[#This Row],[Fecha_Estimada]],Cargas[[#This Row],[Fecha_Real]]-Cargas[[#This Row],[Fecha_Estimada]],0)</f>
        <v>1</v>
      </c>
      <c r="L55" s="10">
        <f>IF(Cargas[[#This Row],[Dias_Retraso]]=0,1,0)</f>
        <v>0</v>
      </c>
    </row>
    <row r="56" spans="1:12">
      <c r="A56" s="2">
        <v>55</v>
      </c>
      <c r="B56" s="3" t="s">
        <v>140</v>
      </c>
      <c r="C56" s="3" t="s">
        <v>26</v>
      </c>
      <c r="D56" s="3" t="s">
        <v>56</v>
      </c>
      <c r="E56" s="3" t="s">
        <v>15</v>
      </c>
      <c r="F56" s="4">
        <v>46081</v>
      </c>
      <c r="G56" s="4">
        <v>46081</v>
      </c>
      <c r="H56" s="3" t="s">
        <v>16</v>
      </c>
      <c r="I56" s="3" t="s">
        <v>17</v>
      </c>
      <c r="J56" s="3" t="s">
        <v>141</v>
      </c>
      <c r="K56" s="11">
        <f>IF(Cargas[[#This Row],[Fecha_Real]]&gt;Cargas[[#This Row],[Fecha_Estimada]],Cargas[[#This Row],[Fecha_Real]]-Cargas[[#This Row],[Fecha_Estimada]],0)</f>
        <v>0</v>
      </c>
      <c r="L56" s="11">
        <f>IF(Cargas[[#This Row],[Dias_Retraso]]=0,1,0)</f>
        <v>1</v>
      </c>
    </row>
    <row r="57" spans="1:12">
      <c r="A57" s="5">
        <v>56</v>
      </c>
      <c r="B57" s="6" t="s">
        <v>142</v>
      </c>
      <c r="C57" s="6" t="s">
        <v>30</v>
      </c>
      <c r="D57" s="6" t="s">
        <v>31</v>
      </c>
      <c r="E57" s="6" t="s">
        <v>15</v>
      </c>
      <c r="F57" s="7">
        <v>46082</v>
      </c>
      <c r="G57" s="7">
        <v>46082</v>
      </c>
      <c r="H57" s="6" t="s">
        <v>47</v>
      </c>
      <c r="I57" s="6" t="s">
        <v>17</v>
      </c>
      <c r="J57" s="6" t="s">
        <v>65</v>
      </c>
      <c r="K57" s="10">
        <f>IF(Cargas[[#This Row],[Fecha_Real]]&gt;Cargas[[#This Row],[Fecha_Estimada]],Cargas[[#This Row],[Fecha_Real]]-Cargas[[#This Row],[Fecha_Estimada]],0)</f>
        <v>0</v>
      </c>
      <c r="L57" s="10">
        <f>IF(Cargas[[#This Row],[Dias_Retraso]]=0,1,0)</f>
        <v>1</v>
      </c>
    </row>
    <row r="58" spans="1:12">
      <c r="A58" s="2">
        <v>57</v>
      </c>
      <c r="B58" s="3" t="s">
        <v>143</v>
      </c>
      <c r="C58" s="3" t="s">
        <v>13</v>
      </c>
      <c r="D58" s="3" t="s">
        <v>50</v>
      </c>
      <c r="E58" s="3" t="s">
        <v>15</v>
      </c>
      <c r="F58" s="4">
        <v>46082</v>
      </c>
      <c r="G58" s="4">
        <v>46084</v>
      </c>
      <c r="H58" s="3" t="s">
        <v>22</v>
      </c>
      <c r="I58" s="3" t="s">
        <v>23</v>
      </c>
      <c r="J58" s="3" t="s">
        <v>144</v>
      </c>
      <c r="K58" s="11">
        <f>IF(Cargas[[#This Row],[Fecha_Real]]&gt;Cargas[[#This Row],[Fecha_Estimada]],Cargas[[#This Row],[Fecha_Real]]-Cargas[[#This Row],[Fecha_Estimada]],0)</f>
        <v>2</v>
      </c>
      <c r="L58" s="11">
        <f>IF(Cargas[[#This Row],[Dias_Retraso]]=0,1,0)</f>
        <v>0</v>
      </c>
    </row>
    <row r="59" spans="1:12">
      <c r="A59" s="5">
        <v>58</v>
      </c>
      <c r="B59" s="6" t="s">
        <v>145</v>
      </c>
      <c r="C59" s="6" t="s">
        <v>20</v>
      </c>
      <c r="D59" s="6" t="s">
        <v>39</v>
      </c>
      <c r="E59" s="6" t="s">
        <v>15</v>
      </c>
      <c r="F59" s="7">
        <v>46083</v>
      </c>
      <c r="G59" s="7">
        <v>46083</v>
      </c>
      <c r="H59" s="6" t="s">
        <v>16</v>
      </c>
      <c r="I59" s="6" t="s">
        <v>17</v>
      </c>
      <c r="J59" s="6" t="s">
        <v>86</v>
      </c>
      <c r="K59" s="10">
        <f>IF(Cargas[[#This Row],[Fecha_Real]]&gt;Cargas[[#This Row],[Fecha_Estimada]],Cargas[[#This Row],[Fecha_Real]]-Cargas[[#This Row],[Fecha_Estimada]],0)</f>
        <v>0</v>
      </c>
      <c r="L59" s="10">
        <f>IF(Cargas[[#This Row],[Dias_Retraso]]=0,1,0)</f>
        <v>1</v>
      </c>
    </row>
    <row r="60" spans="1:12">
      <c r="A60" s="2">
        <v>59</v>
      </c>
      <c r="B60" s="3" t="s">
        <v>146</v>
      </c>
      <c r="C60" s="3" t="s">
        <v>26</v>
      </c>
      <c r="D60" s="3" t="s">
        <v>43</v>
      </c>
      <c r="E60" s="3" t="s">
        <v>15</v>
      </c>
      <c r="F60" s="4">
        <v>46083</v>
      </c>
      <c r="G60" s="4">
        <v>46083</v>
      </c>
      <c r="H60" s="3" t="s">
        <v>16</v>
      </c>
      <c r="I60" s="3" t="s">
        <v>17</v>
      </c>
      <c r="J60" s="3" t="s">
        <v>112</v>
      </c>
      <c r="K60" s="11">
        <f>IF(Cargas[[#This Row],[Fecha_Real]]&gt;Cargas[[#This Row],[Fecha_Estimada]],Cargas[[#This Row],[Fecha_Real]]-Cargas[[#This Row],[Fecha_Estimada]],0)</f>
        <v>0</v>
      </c>
      <c r="L60" s="11">
        <f>IF(Cargas[[#This Row],[Dias_Retraso]]=0,1,0)</f>
        <v>1</v>
      </c>
    </row>
    <row r="61" spans="1:12">
      <c r="A61" s="5">
        <v>60</v>
      </c>
      <c r="B61" s="6" t="s">
        <v>147</v>
      </c>
      <c r="C61" s="6" t="s">
        <v>30</v>
      </c>
      <c r="D61" s="6" t="s">
        <v>46</v>
      </c>
      <c r="E61" s="6" t="s">
        <v>15</v>
      </c>
      <c r="F61" s="7">
        <v>46084</v>
      </c>
      <c r="G61" s="7">
        <v>46085</v>
      </c>
      <c r="H61" s="6" t="s">
        <v>32</v>
      </c>
      <c r="I61" s="6" t="s">
        <v>33</v>
      </c>
      <c r="J61" s="6" t="s">
        <v>92</v>
      </c>
      <c r="K61" s="10">
        <f>IF(Cargas[[#This Row],[Fecha_Real]]&gt;Cargas[[#This Row],[Fecha_Estimada]],Cargas[[#This Row],[Fecha_Real]]-Cargas[[#This Row],[Fecha_Estimada]],0)</f>
        <v>1</v>
      </c>
      <c r="L61" s="10">
        <f>IF(Cargas[[#This Row],[Dias_Retraso]]=0,1,0)</f>
        <v>0</v>
      </c>
    </row>
    <row r="62" spans="1:12">
      <c r="A62" s="2">
        <v>61</v>
      </c>
      <c r="B62" s="3" t="s">
        <v>148</v>
      </c>
      <c r="C62" s="3" t="s">
        <v>13</v>
      </c>
      <c r="D62" s="3" t="s">
        <v>14</v>
      </c>
      <c r="E62" s="3" t="s">
        <v>15</v>
      </c>
      <c r="F62" s="4">
        <v>46084</v>
      </c>
      <c r="G62" s="4">
        <v>46084</v>
      </c>
      <c r="H62" s="3" t="s">
        <v>16</v>
      </c>
      <c r="I62" s="3" t="s">
        <v>17</v>
      </c>
      <c r="J62" s="3" t="s">
        <v>34</v>
      </c>
      <c r="K62" s="11">
        <f>IF(Cargas[[#This Row],[Fecha_Real]]&gt;Cargas[[#This Row],[Fecha_Estimada]],Cargas[[#This Row],[Fecha_Real]]-Cargas[[#This Row],[Fecha_Estimada]],0)</f>
        <v>0</v>
      </c>
      <c r="L62" s="11">
        <f>IF(Cargas[[#This Row],[Dias_Retraso]]=0,1,0)</f>
        <v>1</v>
      </c>
    </row>
    <row r="63" spans="1:12">
      <c r="A63" s="5">
        <v>62</v>
      </c>
      <c r="B63" s="6" t="s">
        <v>149</v>
      </c>
      <c r="C63" s="6" t="s">
        <v>20</v>
      </c>
      <c r="D63" s="6" t="s">
        <v>21</v>
      </c>
      <c r="E63" s="6" t="s">
        <v>15</v>
      </c>
      <c r="F63" s="7">
        <v>46085</v>
      </c>
      <c r="G63" s="7">
        <v>46087</v>
      </c>
      <c r="H63" s="6" t="s">
        <v>22</v>
      </c>
      <c r="I63" s="6" t="s">
        <v>40</v>
      </c>
      <c r="J63" s="6" t="s">
        <v>79</v>
      </c>
      <c r="K63" s="10">
        <f>IF(Cargas[[#This Row],[Fecha_Real]]&gt;Cargas[[#This Row],[Fecha_Estimada]],Cargas[[#This Row],[Fecha_Real]]-Cargas[[#This Row],[Fecha_Estimada]],0)</f>
        <v>2</v>
      </c>
      <c r="L63" s="10">
        <f>IF(Cargas[[#This Row],[Dias_Retraso]]=0,1,0)</f>
        <v>0</v>
      </c>
    </row>
    <row r="64" spans="1:12">
      <c r="A64" s="2">
        <v>63</v>
      </c>
      <c r="B64" s="3" t="s">
        <v>150</v>
      </c>
      <c r="C64" s="3" t="s">
        <v>26</v>
      </c>
      <c r="D64" s="3" t="s">
        <v>56</v>
      </c>
      <c r="E64" s="3" t="s">
        <v>15</v>
      </c>
      <c r="F64" s="4">
        <v>46085</v>
      </c>
      <c r="G64" s="4">
        <v>46085</v>
      </c>
      <c r="H64" s="3" t="s">
        <v>16</v>
      </c>
      <c r="I64" s="3" t="s">
        <v>17</v>
      </c>
      <c r="J64" s="3" t="s">
        <v>151</v>
      </c>
      <c r="K64" s="11">
        <f>IF(Cargas[[#This Row],[Fecha_Real]]&gt;Cargas[[#This Row],[Fecha_Estimada]],Cargas[[#This Row],[Fecha_Real]]-Cargas[[#This Row],[Fecha_Estimada]],0)</f>
        <v>0</v>
      </c>
      <c r="L64" s="11">
        <f>IF(Cargas[[#This Row],[Dias_Retraso]]=0,1,0)</f>
        <v>1</v>
      </c>
    </row>
    <row r="65" spans="1:12">
      <c r="A65" s="5">
        <v>64</v>
      </c>
      <c r="B65" s="6" t="s">
        <v>152</v>
      </c>
      <c r="C65" s="6" t="s">
        <v>30</v>
      </c>
      <c r="D65" s="6" t="s">
        <v>31</v>
      </c>
      <c r="E65" s="6" t="s">
        <v>15</v>
      </c>
      <c r="F65" s="7">
        <v>46086</v>
      </c>
      <c r="G65" s="7">
        <v>46086</v>
      </c>
      <c r="H65" s="6" t="s">
        <v>47</v>
      </c>
      <c r="I65" s="6" t="s">
        <v>17</v>
      </c>
      <c r="J65" s="6" t="s">
        <v>153</v>
      </c>
      <c r="K65" s="10">
        <f>IF(Cargas[[#This Row],[Fecha_Real]]&gt;Cargas[[#This Row],[Fecha_Estimada]],Cargas[[#This Row],[Fecha_Real]]-Cargas[[#This Row],[Fecha_Estimada]],0)</f>
        <v>0</v>
      </c>
      <c r="L65" s="10">
        <f>IF(Cargas[[#This Row],[Dias_Retraso]]=0,1,0)</f>
        <v>1</v>
      </c>
    </row>
    <row r="66" spans="1:12">
      <c r="A66" s="2">
        <v>65</v>
      </c>
      <c r="B66" s="3" t="s">
        <v>154</v>
      </c>
      <c r="C66" s="3" t="s">
        <v>13</v>
      </c>
      <c r="D66" s="3" t="s">
        <v>39</v>
      </c>
      <c r="E66" s="3" t="s">
        <v>15</v>
      </c>
      <c r="F66" s="4">
        <v>46086</v>
      </c>
      <c r="G66" s="4">
        <v>46088</v>
      </c>
      <c r="H66" s="3" t="s">
        <v>22</v>
      </c>
      <c r="I66" s="3" t="s">
        <v>23</v>
      </c>
      <c r="J66" s="3" t="s">
        <v>84</v>
      </c>
      <c r="K66" s="11">
        <f>IF(Cargas[[#This Row],[Fecha_Real]]&gt;Cargas[[#This Row],[Fecha_Estimada]],Cargas[[#This Row],[Fecha_Real]]-Cargas[[#This Row],[Fecha_Estimada]],0)</f>
        <v>2</v>
      </c>
      <c r="L66" s="11">
        <f>IF(Cargas[[#This Row],[Dias_Retraso]]=0,1,0)</f>
        <v>0</v>
      </c>
    </row>
    <row r="67" spans="1:12">
      <c r="A67" s="5">
        <v>66</v>
      </c>
      <c r="B67" s="6" t="s">
        <v>155</v>
      </c>
      <c r="C67" s="6" t="s">
        <v>20</v>
      </c>
      <c r="D67" s="6" t="s">
        <v>36</v>
      </c>
      <c r="E67" s="6" t="s">
        <v>15</v>
      </c>
      <c r="F67" s="7">
        <v>46087</v>
      </c>
      <c r="G67" s="7">
        <v>46087</v>
      </c>
      <c r="H67" s="6" t="s">
        <v>16</v>
      </c>
      <c r="I67" s="6" t="s">
        <v>17</v>
      </c>
      <c r="J67" s="6" t="s">
        <v>156</v>
      </c>
      <c r="K67" s="10">
        <f>IF(Cargas[[#This Row],[Fecha_Real]]&gt;Cargas[[#This Row],[Fecha_Estimada]],Cargas[[#This Row],[Fecha_Real]]-Cargas[[#This Row],[Fecha_Estimada]],0)</f>
        <v>0</v>
      </c>
      <c r="L67" s="10">
        <f>IF(Cargas[[#This Row],[Dias_Retraso]]=0,1,0)</f>
        <v>1</v>
      </c>
    </row>
    <row r="68" spans="1:12">
      <c r="A68" s="2">
        <v>67</v>
      </c>
      <c r="B68" s="3" t="s">
        <v>157</v>
      </c>
      <c r="C68" s="3" t="s">
        <v>26</v>
      </c>
      <c r="D68" s="3" t="s">
        <v>27</v>
      </c>
      <c r="E68" s="3" t="s">
        <v>15</v>
      </c>
      <c r="F68" s="4">
        <v>46087</v>
      </c>
      <c r="G68" s="4">
        <v>46087</v>
      </c>
      <c r="H68" s="3" t="s">
        <v>16</v>
      </c>
      <c r="I68" s="3" t="s">
        <v>17</v>
      </c>
      <c r="J68" s="3" t="s">
        <v>158</v>
      </c>
      <c r="K68" s="11">
        <f>IF(Cargas[[#This Row],[Fecha_Real]]&gt;Cargas[[#This Row],[Fecha_Estimada]],Cargas[[#This Row],[Fecha_Real]]-Cargas[[#This Row],[Fecha_Estimada]],0)</f>
        <v>0</v>
      </c>
      <c r="L68" s="11">
        <f>IF(Cargas[[#This Row],[Dias_Retraso]]=0,1,0)</f>
        <v>1</v>
      </c>
    </row>
    <row r="69" spans="1:12">
      <c r="A69" s="5">
        <v>68</v>
      </c>
      <c r="B69" s="6" t="s">
        <v>159</v>
      </c>
      <c r="C69" s="6" t="s">
        <v>30</v>
      </c>
      <c r="D69" s="6" t="s">
        <v>31</v>
      </c>
      <c r="E69" s="6" t="s">
        <v>15</v>
      </c>
      <c r="F69" s="7">
        <v>46088</v>
      </c>
      <c r="G69" s="7">
        <v>46089</v>
      </c>
      <c r="H69" s="6" t="s">
        <v>32</v>
      </c>
      <c r="I69" s="6" t="s">
        <v>33</v>
      </c>
      <c r="J69" s="6" t="s">
        <v>160</v>
      </c>
      <c r="K69" s="10">
        <f>IF(Cargas[[#This Row],[Fecha_Real]]&gt;Cargas[[#This Row],[Fecha_Estimada]],Cargas[[#This Row],[Fecha_Real]]-Cargas[[#This Row],[Fecha_Estimada]],0)</f>
        <v>1</v>
      </c>
      <c r="L69" s="10">
        <f>IF(Cargas[[#This Row],[Dias_Retraso]]=0,1,0)</f>
        <v>0</v>
      </c>
    </row>
    <row r="70" spans="1:12">
      <c r="A70" s="2">
        <v>69</v>
      </c>
      <c r="B70" s="3" t="s">
        <v>161</v>
      </c>
      <c r="C70" s="3" t="s">
        <v>13</v>
      </c>
      <c r="D70" s="3" t="s">
        <v>14</v>
      </c>
      <c r="E70" s="3" t="s">
        <v>15</v>
      </c>
      <c r="F70" s="4">
        <v>46088</v>
      </c>
      <c r="G70" s="4">
        <v>46088</v>
      </c>
      <c r="H70" s="3" t="s">
        <v>16</v>
      </c>
      <c r="I70" s="3" t="s">
        <v>17</v>
      </c>
      <c r="J70" s="3" t="s">
        <v>162</v>
      </c>
      <c r="K70" s="11">
        <f>IF(Cargas[[#This Row],[Fecha_Real]]&gt;Cargas[[#This Row],[Fecha_Estimada]],Cargas[[#This Row],[Fecha_Real]]-Cargas[[#This Row],[Fecha_Estimada]],0)</f>
        <v>0</v>
      </c>
      <c r="L70" s="11">
        <f>IF(Cargas[[#This Row],[Dias_Retraso]]=0,1,0)</f>
        <v>1</v>
      </c>
    </row>
    <row r="71" spans="1:12">
      <c r="A71" s="5">
        <v>70</v>
      </c>
      <c r="B71" s="6" t="s">
        <v>163</v>
      </c>
      <c r="C71" s="6" t="s">
        <v>20</v>
      </c>
      <c r="D71" s="6" t="s">
        <v>21</v>
      </c>
      <c r="E71" s="6" t="s">
        <v>15</v>
      </c>
      <c r="F71" s="7">
        <v>46089</v>
      </c>
      <c r="G71" s="7">
        <v>46091</v>
      </c>
      <c r="H71" s="6" t="s">
        <v>22</v>
      </c>
      <c r="I71" s="6" t="s">
        <v>40</v>
      </c>
      <c r="J71" s="6" t="s">
        <v>51</v>
      </c>
      <c r="K71" s="10">
        <f>IF(Cargas[[#This Row],[Fecha_Real]]&gt;Cargas[[#This Row],[Fecha_Estimada]],Cargas[[#This Row],[Fecha_Real]]-Cargas[[#This Row],[Fecha_Estimada]],0)</f>
        <v>2</v>
      </c>
      <c r="L71" s="10">
        <f>IF(Cargas[[#This Row],[Dias_Retraso]]=0,1,0)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2026-02-26T22:10:03Z</dcterms:created>
  <dcterms:modified xsi:type="dcterms:W3CDTF">2026-02-26T22:13:34Z</dcterms:modified>
  <cp:category/>
  <cp:contentStatus/>
</cp:coreProperties>
</file>